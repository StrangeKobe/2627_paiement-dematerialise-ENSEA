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ètres" sheetId="1" state="visible" r:id="rId3"/>
    <sheet name="Calendrier pilote" sheetId="2" state="visible" r:id="rId4"/>
    <sheet name="Mensuel (moyen)" sheetId="3" state="visible" r:id="rId5"/>
    <sheet name="Total pilote (3 scénarios)" sheetId="4" state="visible" r:id="rId6"/>
    <sheet name="Graphiques" sheetId="5" state="visible" r:id="rId7"/>
    <sheet name="Résumé" sheetId="6" state="visible" r:id="rId8"/>
  </sheets>
  <definedNames>
    <definedName function="false" hidden="false" name="BDETX_TOT" vbProcedure="false">'Calendrier pilote'!$K$14</definedName>
    <definedName function="false" hidden="false" name="BDEVOL_TOT" vbProcedure="false">'Calendrier pilote'!$L$14</definedName>
    <definedName function="false" hidden="false" name="BDE_MT" vbProcedure="false">Paramètres!$C$17</definedName>
    <definedName function="false" hidden="false" name="BDE_PART" vbProcedure="false">Paramètres!$C$15</definedName>
    <definedName function="false" hidden="false" name="BDE_PCT" vbProcedure="false">Paramètres!$C$16</definedName>
    <definedName function="false" hidden="false" name="EPITX_TOT" vbProcedure="false">'Calendrier pilote'!$N$14</definedName>
    <definedName function="false" hidden="false" name="EPIVOL_TOT" vbProcedure="false">'Calendrier pilote'!$O$14</definedName>
    <definedName function="false" hidden="false" name="EPI_TX" vbProcedure="false">Paramètres!$C$21</definedName>
    <definedName function="false" hidden="false" name="EPI_VOL" vbProcedure="false">Paramètres!$C$20</definedName>
    <definedName function="false" hidden="false" name="FREQ_SEM" vbProcedure="false">Paramètres!$C$11</definedName>
    <definedName function="false" hidden="false" name="HELLO_ABO" vbProcedure="false">Paramètres!$D$35</definedName>
    <definedName function="false" hidden="false" name="HELLO_ENT" vbProcedure="false">Paramètres!$E$35</definedName>
    <definedName function="false" hidden="false" name="HELLO_FIX" vbProcedure="false">Paramètres!$C$35</definedName>
    <definedName function="false" hidden="false" name="HELLO_PCT" vbProcedure="false">Paramètres!$B$35</definedName>
    <definedName function="false" hidden="false" name="LYRA_ABO" vbProcedure="false">Paramètres!$D$30</definedName>
    <definedName function="false" hidden="false" name="LYRA_ENT" vbProcedure="false">Paramètres!$E$30</definedName>
    <definedName function="false" hidden="false" name="LYRA_FIX" vbProcedure="false">Paramètres!$C$30</definedName>
    <definedName function="false" hidden="false" name="LYRA_PCT" vbProcedure="false">Paramètres!$B$30</definedName>
    <definedName function="false" hidden="false" name="MON1_ABO" vbProcedure="false">Paramètres!$D$31</definedName>
    <definedName function="false" hidden="false" name="MON1_ENT" vbProcedure="false">Paramètres!$E$31</definedName>
    <definedName function="false" hidden="false" name="MON1_FIX" vbProcedure="false">Paramètres!$C$31</definedName>
    <definedName function="false" hidden="false" name="MON1_PCT" vbProcedure="false">Paramètres!$B$31</definedName>
    <definedName function="false" hidden="false" name="MON2_ABO" vbProcedure="false">Paramètres!$D$32</definedName>
    <definedName function="false" hidden="false" name="MON2_ENT" vbProcedure="false">Paramètres!$E$32</definedName>
    <definedName function="false" hidden="false" name="MON2_FIX" vbProcedure="false">Paramètres!$C$32</definedName>
    <definedName function="false" hidden="false" name="MON2_PCT" vbProcedure="false">Paramètres!$B$32</definedName>
    <definedName function="false" hidden="false" name="MT_FAIBLE" vbProcedure="false">Paramètres!$C$6</definedName>
    <definedName function="false" hidden="false" name="MT_FORT" vbProcedure="false">Paramètres!$C$8</definedName>
    <definedName function="false" hidden="false" name="MT_MOY" vbProcedure="false">Paramètres!$C$7</definedName>
    <definedName function="false" hidden="false" name="NB_FAIBLE" vbProcedure="false">Paramètres!$B$6</definedName>
    <definedName function="false" hidden="false" name="NB_FORT" vbProcedure="false">Paramètres!$B$8</definedName>
    <definedName function="false" hidden="false" name="NB_MOIS" vbProcedure="false">Paramètres!$C$12</definedName>
    <definedName function="false" hidden="false" name="NB_MOY" vbProcedure="false">Paramètres!$B$7</definedName>
    <definedName function="false" hidden="false" name="PAYPLUG_ABO" vbProcedure="false">Paramètres!$D$29</definedName>
    <definedName function="false" hidden="false" name="PAYPLUG_ENT" vbProcedure="false">Paramètres!$E$29</definedName>
    <definedName function="false" hidden="false" name="PAYPLUG_FIX" vbProcedure="false">Paramètres!$C$29</definedName>
    <definedName function="false" hidden="false" name="PAYPLUG_PCT" vbProcedure="false">Paramètres!$B$29</definedName>
    <definedName function="false" hidden="false" name="SOGEC_ABO" vbProcedure="false">Paramètres!$D$34</definedName>
    <definedName function="false" hidden="false" name="SOGEC_ENT" vbProcedure="false">Paramètres!$E$34</definedName>
    <definedName function="false" hidden="false" name="SOGEC_FIX" vbProcedure="false">Paramètres!$C$34</definedName>
    <definedName function="false" hidden="false" name="SOGEC_PCT" vbProcedure="false">Paramètres!$B$34</definedName>
    <definedName function="false" hidden="false" name="SOGEL_ABO" vbProcedure="false">Paramètres!$D$33</definedName>
    <definedName function="false" hidden="false" name="SOGEL_ENT" vbProcedure="false">Paramètres!$E$33</definedName>
    <definedName function="false" hidden="false" name="SOGEL_FIX" vbProcedure="false">Paramètres!$C$33</definedName>
    <definedName function="false" hidden="false" name="SOGEL_PCT" vbProcedure="false">Paramètres!$B$33</definedName>
    <definedName function="false" hidden="false" name="STRIPE_ABO" vbProcedure="false">Paramètres!$D$28</definedName>
    <definedName function="false" hidden="false" name="STRIPE_ENT" vbProcedure="false">Paramètres!$E$28</definedName>
    <definedName function="false" hidden="false" name="STRIPE_FIX" vbProcedure="false">Paramètres!$C$28</definedName>
    <definedName function="false" hidden="false" name="STRIPE_PCT" vbProcedure="false">Paramètres!$B$28</definedName>
    <definedName function="false" hidden="false" name="TVA" vbProcedure="false">Paramètres!$C$24</definedName>
    <definedName function="false" hidden="false" name="TXPA_TOT" vbProcedure="false">'Calendrier pilote'!$I$14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<sst xmlns="http://schemas.openxmlformats.org/spreadsheetml/2006/main" count="171" uniqueCount="97">
  <si>
    <t xml:space="preserve">PARAMÈTRES DU PILOTE ADE — septembre 2026 à mai 2027 (9 mois)</t>
  </si>
  <si>
    <t xml:space="preserve">Cellules bleues = modifiables · Cellules jaunes = hypothèses à confirmer</t>
  </si>
  <si>
    <t xml:space="preserve">1. Scénarios d'adoption</t>
  </si>
  <si>
    <t xml:space="preserve">Scénario</t>
  </si>
  <si>
    <t xml:space="preserve">Étudiants actifs</t>
  </si>
  <si>
    <t xml:space="preserve">Rechargement moyen (€)</t>
  </si>
  <si>
    <t xml:space="preserve">Faible</t>
  </si>
  <si>
    <t xml:space="preserve">Moyen</t>
  </si>
  <si>
    <t xml:space="preserve">Fort</t>
  </si>
  <si>
    <t xml:space="preserve">2. Comportement</t>
  </si>
  <si>
    <t xml:space="preserve">Fréquence de rechargement (1 recharge toutes les X semaines)</t>
  </si>
  <si>
    <t xml:space="preserve">Durée du pilote (mois, pour les abonnements)</t>
  </si>
  <si>
    <t xml:space="preserve">3. Soirées BDE</t>
  </si>
  <si>
    <t xml:space="preserve">Participants par soirée</t>
  </si>
  <si>
    <t xml:space="preserve">Part des participants qui rechargent</t>
  </si>
  <si>
    <t xml:space="preserve">Montant du rechargement soirée (€)</t>
  </si>
  <si>
    <t xml:space="preserve">4. Events Epicuria</t>
  </si>
  <si>
    <t xml:space="preserve">Volume rechargé par event (€)</t>
  </si>
  <si>
    <t xml:space="preserve">Basé sur le dernier event : ~50 € dont la moitié en virement</t>
  </si>
  <si>
    <t xml:space="preserve">Transactions par event</t>
  </si>
  <si>
    <t xml:space="preserve">5. TVA</t>
  </si>
  <si>
    <t xml:space="preserve">Taux de TVA appliqué aux coûts</t>
  </si>
  <si>
    <t xml:space="preserve">6. Solutions de paiement</t>
  </si>
  <si>
    <t xml:space="preserve">Solution</t>
  </si>
  <si>
    <t xml:space="preserve">% / transaction</t>
  </si>
  <si>
    <t xml:space="preserve">Fixe / transaction (€)</t>
  </si>
  <si>
    <t xml:space="preserve">Abonnement HT/mois (€)</t>
  </si>
  <si>
    <t xml:space="preserve">Frais d'entrée one-shot HT (€)</t>
  </si>
  <si>
    <t xml:space="preserve">Stripe</t>
  </si>
  <si>
    <t xml:space="preserve">Payplug</t>
  </si>
  <si>
    <t xml:space="preserve">Lyra Collect</t>
  </si>
  <si>
    <t xml:space="preserve">Monetico (sans abo)</t>
  </si>
  <si>
    <t xml:space="preserve">Monetico (abo estimé)</t>
  </si>
  <si>
    <t xml:space="preserve">SogeCommerce Lite</t>
  </si>
  <si>
    <t xml:space="preserve">SogeCommerce Complet</t>
  </si>
  <si>
    <t xml:space="preserve">HelloAsso</t>
  </si>
  <si>
    <t xml:space="preserve">CALENDRIER PILOTE — activité mois par mois (sept 2026 → mai 2027)</t>
  </si>
  <si>
    <t xml:space="preserve">Colonnes bleues modifiables : vacances, présence des cohortes, soirée BDE (1/0), event Epicuria (1/0)</t>
  </si>
  <si>
    <t xml:space="preserve">Mois</t>
  </si>
  <si>
    <t xml:space="preserve">Semaines brutes</t>
  </si>
  <si>
    <t xml:space="preserve">Semaines vacances</t>
  </si>
  <si>
    <t xml:space="preserve">Semaines actives</t>
  </si>
  <si>
    <t xml:space="preserve">Présence 1A</t>
  </si>
  <si>
    <t xml:space="preserve">Présence 2A</t>
  </si>
  <si>
    <t xml:space="preserve">Présence 3A</t>
  </si>
  <si>
    <t xml:space="preserve">Facteur présence</t>
  </si>
  <si>
    <t xml:space="preserve">Recharges / actif</t>
  </si>
  <si>
    <t xml:space="preserve">Soirée BDE (1/0)</t>
  </si>
  <si>
    <t xml:space="preserve">Tx soirée</t>
  </si>
  <si>
    <t xml:space="preserve">Vol. soirée (€)</t>
  </si>
  <si>
    <t xml:space="preserve">Event Epicuria (1/0)</t>
  </si>
  <si>
    <t xml:space="preserve">Tx Epicuria</t>
  </si>
  <si>
    <t xml:space="preserve">Vol. Epicuria (€)</t>
  </si>
  <si>
    <t xml:space="preserve">Tx total (scén. moyen)</t>
  </si>
  <si>
    <t xml:space="preserve">Volume total € (scén. moyen)</t>
  </si>
  <si>
    <t xml:space="preserve">Septembre</t>
  </si>
  <si>
    <t xml:space="preserve">Octobre</t>
  </si>
  <si>
    <t xml:space="preserve">Novembre</t>
  </si>
  <si>
    <t xml:space="preserve">Décembre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</si>
  <si>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</si>
  <si>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</si>
  <si>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</si>
  <si>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</si>
  <si>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</si>
  <si>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TOTAL PILOTE</t>
  </si>
  <si>
    <t xml:space="preserve">COMPARATIF MENSUEL — scénario moyen · les frais d'entrée sont payés en septembre (one-shot)</t>
  </si>
  <si>
    <t xml:space="preserve">Transactions</t>
  </si>
  <si>
    <t xml:space="preserve">Volume (€)</t>
  </si>
  <si>
    <t xml:space="preserve">TOTAL HT</t>
  </si>
  <si>
    <t xml:space="preserve">TOTAL TTC</t>
  </si>
  <si>
    <t xml:space="preserve">COÛT TOTAL DU PILOTE — 9 mois, frais d'entrée inclus en réel (one-shot)</t>
  </si>
  <si>
    <t xml:space="preserve">Scénario Faible</t>
  </si>
  <si>
    <t xml:space="preserve">Transactions pilote</t>
  </si>
  <si>
    <t xml:space="preserve">Volume rechargé pilote</t>
  </si>
  <si>
    <t xml:space="preserve">Coût variable HT</t>
  </si>
  <si>
    <t xml:space="preserve">Abonnements HT (9 mois)</t>
  </si>
  <si>
    <t xml:space="preserve">Entrée one-shot HT</t>
  </si>
  <si>
    <t xml:space="preserve">Total HT</t>
  </si>
  <si>
    <t xml:space="preserve">Total TTC</t>
  </si>
  <si>
    <t xml:space="preserve">Rang</t>
  </si>
  <si>
    <t xml:space="preserve">Scénario Moyen</t>
  </si>
  <si>
    <t xml:space="preserve">Scénario Fort</t>
  </si>
  <si>
    <t xml:space="preserve">Synthèse Total TTC (source graphique)</t>
  </si>
  <si>
    <t xml:space="preserve">GRAPHIQUES — liés aux feuilles de calcul, mis à jour automatiquement</t>
  </si>
  <si>
    <t xml:space="preserve">RÉSUMÉ &amp; RECOMMANDATION — scénario moyen du pilote, mis à jour automatiquement</t>
  </si>
  <si>
    <t xml:space="preserve">Coût total pilote TTC</t>
  </si>
  <si>
    <t xml:space="preserve">Verdict</t>
  </si>
  <si>
    <t xml:space="preserve">Point de vigilance</t>
  </si>
  <si>
    <t xml:space="preserve">Acteur américain, frais plus élevés mais zéro coût fixe</t>
  </si>
  <si>
    <t xml:space="preserve">Abonnement dû même les mois creux</t>
  </si>
  <si>
    <t xml:space="preserve">Abonnement + entrée 99 € : coût de démarrage le plus lourd des PSP</t>
  </si>
  <si>
    <t xml:space="preserve">Nécessite un compte CM/CIC · taux 0,5 % = hypothèse</t>
  </si>
  <si>
    <t xml:space="preserve">Nécessite un compte CM/CIC · abo et taux = hypothèses</t>
  </si>
  <si>
    <t xml:space="preserve">Nécessite un compte Société Générale · taux = hypothèse · entrée 100 €</t>
  </si>
  <si>
    <t xml:space="preserve">Entrée 300 € one-shot · nécessite compte SG</t>
  </si>
  <si>
    <t xml:space="preserve">CGU à valider pour le cas wallet · écran pourboire imposé</t>
  </si>
  <si>
    <t xml:space="preserve">Recommandation automatique (la moins chère du scénario moyen) 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</si>
</sst>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&quot; €&quot;"/>
    <numFmt numFmtId="167" formatCode="0.0%"/>
    <numFmt numFmtId="168" formatCode="#,##0.00&quot; €&quot;"/>
    <numFmt numFmtId="169" formatCode="0.0"/>
    <numFmt numFmtId="170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A6004C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A6004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6004C"/>
        <bgColor rgb="FF800080"/>
      </patternFill>
    </fill>
    <fill>
      <patternFill patternType="solid">
        <fgColor rgb="FFF5F5F5"/>
        <bgColor rgb="FFF9F9F9"/>
      </patternFill>
    </fill>
    <fill>
      <patternFill patternType="solid">
        <fgColor rgb="FFFFF2CC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A6004C"/>
      <rgbColor rgb="FF008080"/>
      <rgbColor rgb="FFCCCCCC"/>
      <rgbColor rgb="FF878787"/>
      <rgbColor rgb="FF93A9CE"/>
      <rgbColor rgb="FFAA433F"/>
      <rgbColor rgb="FFFFF2CC"/>
      <rgbColor rgb="FFF5F5F5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D09493"/>
      <rgbColor rgb="FFCC8F8E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993300"/>
      <rgbColor rgb="FFAB4744"/>
      <rgbColor rgb="FF6F56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Coût mensuel HT par solution (pilote, scénario moyen)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'Mensuel (moyen)'!D3</c:f>
              <c:strCache>
                <c:ptCount val="1"/>
                <c:pt idx="0">
                  <c:v>Stripe</c:v>
                </c:pt>
              </c:strCache>
            </c:strRef>
          </c:tx>
          <c:spPr>
            <a:solidFill>
              <a:srgbClr val="426fa6"/>
            </a:solidFill>
            <a:ln w="4752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(moyen)'!$A$4:$A$12</c:f>
              <c:strCache>
                <c:ptCount val="9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</c:strCache>
            </c:strRef>
          </c:cat>
          <c:val>
            <c:numRef>
              <c:f>'Mensuel (moyen)'!$D$4:$D$12</c:f>
              <c:numCache>
                <c:formatCode>#,##0.00" €"</c:formatCode>
                <c:ptCount val="9"/>
                <c:pt idx="0">
                  <c:v>275</c:v>
                </c:pt>
                <c:pt idx="1">
                  <c:v>237.05</c:v>
                </c:pt>
                <c:pt idx="2">
                  <c:v>304.925</c:v>
                </c:pt>
                <c:pt idx="3">
                  <c:v>138.375</c:v>
                </c:pt>
                <c:pt idx="4">
                  <c:v>183.333333333333</c:v>
                </c:pt>
                <c:pt idx="5">
                  <c:v>121.591666666667</c:v>
                </c:pt>
                <c:pt idx="6">
                  <c:v>214.133333333333</c:v>
                </c:pt>
                <c:pt idx="7">
                  <c:v>68.75</c:v>
                </c:pt>
                <c:pt idx="8">
                  <c:v>91.6666666666667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'Mensuel (moyen)'!E3</c:f>
              <c:strCache>
                <c:ptCount val="1"/>
                <c:pt idx="0">
                  <c:v>Payplug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(moyen)'!$A$4:$A$12</c:f>
              <c:strCache>
                <c:ptCount val="9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</c:strCache>
            </c:strRef>
          </c:cat>
          <c:val>
            <c:numRef>
              <c:f>'Mensuel (moyen)'!$E$4:$E$12</c:f>
              <c:numCache>
                <c:formatCode>#,##0.00" €"</c:formatCode>
                <c:ptCount val="9"/>
                <c:pt idx="0">
                  <c:v>265</c:v>
                </c:pt>
                <c:pt idx="1">
                  <c:v>233.17</c:v>
                </c:pt>
                <c:pt idx="2">
                  <c:v>291.145</c:v>
                </c:pt>
                <c:pt idx="3">
                  <c:v>148.275</c:v>
                </c:pt>
                <c:pt idx="4">
                  <c:v>186.666666666667</c:v>
                </c:pt>
                <c:pt idx="5">
                  <c:v>134.478333333333</c:v>
                </c:pt>
                <c:pt idx="6">
                  <c:v>213.586666666667</c:v>
                </c:pt>
                <c:pt idx="7">
                  <c:v>88.75</c:v>
                </c:pt>
                <c:pt idx="8">
                  <c:v>108.333333333333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'Mensuel (moyen)'!F3</c:f>
              <c:strCache>
                <c:ptCount val="1"/>
                <c:pt idx="0">
                  <c:v>Lyra Collect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(moyen)'!$A$4:$A$12</c:f>
              <c:strCache>
                <c:ptCount val="9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</c:strCache>
            </c:strRef>
          </c:cat>
          <c:val>
            <c:numRef>
              <c:f>'Mensuel (moyen)'!$F$4:$F$12</c:f>
              <c:numCache>
                <c:formatCode>#,##0.00" €"</c:formatCode>
                <c:ptCount val="9"/>
                <c:pt idx="0">
                  <c:v>379</c:v>
                </c:pt>
                <c:pt idx="1">
                  <c:v>246.58</c:v>
                </c:pt>
                <c:pt idx="2">
                  <c:v>305.83</c:v>
                </c:pt>
                <c:pt idx="3">
                  <c:v>160.75</c:v>
                </c:pt>
                <c:pt idx="4">
                  <c:v>200</c:v>
                </c:pt>
                <c:pt idx="5">
                  <c:v>145.83</c:v>
                </c:pt>
                <c:pt idx="6">
                  <c:v>226.58</c:v>
                </c:pt>
                <c:pt idx="7">
                  <c:v>100</c:v>
                </c:pt>
                <c:pt idx="8">
                  <c:v>120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'Mensuel (moyen)'!G3</c:f>
              <c:strCache>
                <c:ptCount val="1"/>
                <c:pt idx="0">
                  <c:v>Monetico (sans abo)</c:v>
                </c:pt>
              </c:strCache>
            </c:strRef>
          </c:tx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(moyen)'!$A$4:$A$12</c:f>
              <c:strCache>
                <c:ptCount val="9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</c:strCache>
            </c:strRef>
          </c:cat>
          <c:val>
            <c:numRef>
              <c:f>'Mensuel (moyen)'!$G$4:$G$12</c:f>
              <c:numCache>
                <c:formatCode>#,##0.00" €"</c:formatCode>
                <c:ptCount val="9"/>
                <c:pt idx="0">
                  <c:v>50</c:v>
                </c:pt>
                <c:pt idx="1">
                  <c:v>42.35</c:v>
                </c:pt>
                <c:pt idx="2">
                  <c:v>54.725</c:v>
                </c:pt>
                <c:pt idx="3">
                  <c:v>25.125</c:v>
                </c:pt>
                <c:pt idx="4">
                  <c:v>33.3333333333333</c:v>
                </c:pt>
                <c:pt idx="5">
                  <c:v>21.3916666666667</c:v>
                </c:pt>
                <c:pt idx="6">
                  <c:v>38.1833333333333</c:v>
                </c:pt>
                <c:pt idx="7">
                  <c:v>12.5</c:v>
                </c:pt>
                <c:pt idx="8">
                  <c:v>16.6666666666667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'Mensuel (moyen)'!H3</c:f>
              <c:strCache>
                <c:ptCount val="1"/>
                <c:pt idx="0">
                  <c:v>Monetico (abo estimé)</c:v>
                </c:pt>
              </c:strCache>
            </c:strRef>
          </c:tx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(moyen)'!$A$4:$A$12</c:f>
              <c:strCache>
                <c:ptCount val="9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</c:strCache>
            </c:strRef>
          </c:cat>
          <c:val>
            <c:numRef>
              <c:f>'Mensuel (moyen)'!$H$4:$H$12</c:f>
              <c:numCache>
                <c:formatCode>#,##0.00" €"</c:formatCode>
                <c:ptCount val="9"/>
                <c:pt idx="0">
                  <c:v>70</c:v>
                </c:pt>
                <c:pt idx="1">
                  <c:v>62.35</c:v>
                </c:pt>
                <c:pt idx="2">
                  <c:v>74.725</c:v>
                </c:pt>
                <c:pt idx="3">
                  <c:v>45.125</c:v>
                </c:pt>
                <c:pt idx="4">
                  <c:v>53.3333333333333</c:v>
                </c:pt>
                <c:pt idx="5">
                  <c:v>41.3916666666667</c:v>
                </c:pt>
                <c:pt idx="6">
                  <c:v>58.1833333333333</c:v>
                </c:pt>
                <c:pt idx="7">
                  <c:v>32.5</c:v>
                </c:pt>
                <c:pt idx="8">
                  <c:v>36.6666666666667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'Mensuel (moyen)'!I3</c:f>
              <c:strCache>
                <c:ptCount val="1"/>
                <c:pt idx="0">
                  <c:v>SogeCommerce Lite</c:v>
                </c:pt>
              </c:strCache>
            </c:strRef>
          </c:tx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(moyen)'!$A$4:$A$12</c:f>
              <c:strCache>
                <c:ptCount val="9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</c:strCache>
            </c:strRef>
          </c:cat>
          <c:val>
            <c:numRef>
              <c:f>'Mensuel (moyen)'!$I$4:$I$12</c:f>
              <c:numCache>
                <c:formatCode>#,##0.00" €"</c:formatCode>
                <c:ptCount val="9"/>
                <c:pt idx="0">
                  <c:v>166</c:v>
                </c:pt>
                <c:pt idx="1">
                  <c:v>58.35</c:v>
                </c:pt>
                <c:pt idx="2">
                  <c:v>70.725</c:v>
                </c:pt>
                <c:pt idx="3">
                  <c:v>41.125</c:v>
                </c:pt>
                <c:pt idx="4">
                  <c:v>49.3333333333333</c:v>
                </c:pt>
                <c:pt idx="5">
                  <c:v>37.3916666666667</c:v>
                </c:pt>
                <c:pt idx="6">
                  <c:v>54.1833333333333</c:v>
                </c:pt>
                <c:pt idx="7">
                  <c:v>28.5</c:v>
                </c:pt>
                <c:pt idx="8">
                  <c:v>32.6666666666667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'Mensuel (moyen)'!J3</c:f>
              <c:strCache>
                <c:ptCount val="1"/>
                <c:pt idx="0">
                  <c:v>SogeCommerce Complet</c:v>
                </c:pt>
              </c:strCache>
            </c:strRef>
          </c:tx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(moyen)'!$A$4:$A$12</c:f>
              <c:strCache>
                <c:ptCount val="9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</c:strCache>
            </c:strRef>
          </c:cat>
          <c:val>
            <c:numRef>
              <c:f>'Mensuel (moyen)'!$J$4:$J$12</c:f>
              <c:numCache>
                <c:formatCode>#,##0.00" €"</c:formatCode>
                <c:ptCount val="9"/>
                <c:pt idx="0">
                  <c:v>383</c:v>
                </c:pt>
                <c:pt idx="1">
                  <c:v>75.35</c:v>
                </c:pt>
                <c:pt idx="2">
                  <c:v>87.725</c:v>
                </c:pt>
                <c:pt idx="3">
                  <c:v>58.125</c:v>
                </c:pt>
                <c:pt idx="4">
                  <c:v>66.3333333333333</c:v>
                </c:pt>
                <c:pt idx="5">
                  <c:v>54.3916666666667</c:v>
                </c:pt>
                <c:pt idx="6">
                  <c:v>71.1833333333333</c:v>
                </c:pt>
                <c:pt idx="7">
                  <c:v>45.5</c:v>
                </c:pt>
                <c:pt idx="8">
                  <c:v>49.6666666666667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'Mensuel (moyen)'!K3</c:f>
              <c:strCache>
                <c:ptCount val="1"/>
                <c:pt idx="0">
                  <c:v>HelloAsso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(moyen)'!$A$4:$A$12</c:f>
              <c:strCache>
                <c:ptCount val="9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</c:strCache>
            </c:strRef>
          </c:cat>
          <c:val>
            <c:numRef>
              <c:f>'Mensuel (moyen)'!$K$4:$K$12</c:f>
              <c:numCache>
                <c:formatCode>#,##0.00" €"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988992"/>
        <c:axId val="220059"/>
      </c:lineChart>
      <c:catAx>
        <c:axId val="549889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059"/>
        <c:crosses val="autoZero"/>
        <c:auto val="1"/>
        <c:lblAlgn val="ctr"/>
        <c:lblOffset val="100"/>
        <c:noMultiLvlLbl val="0"/>
      </c:catAx>
      <c:valAx>
        <c:axId val="220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Coût HT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889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Coût total TTC du pilote par solution et par scénario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'Total pilote (3 scénarios)'!B41</c:f>
              <c:strCache>
                <c:ptCount val="1"/>
                <c:pt idx="0">
                  <c:v>Stripe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'Total pilote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'Total pilote (3 scénarios)'!$B$42:$B$44</c:f>
              <c:numCache>
                <c:formatCode>#,##0" €"</c:formatCode>
                <c:ptCount val="3"/>
                <c:pt idx="0">
                  <c:v>773.79</c:v>
                </c:pt>
                <c:pt idx="1">
                  <c:v>1961.79</c:v>
                </c:pt>
                <c:pt idx="2">
                  <c:v>3446.79</c:v>
                </c:pt>
              </c:numCache>
            </c:numRef>
          </c:val>
        </c:ser>
        <c:ser>
          <c:idx val="1"/>
          <c:order val="1"/>
          <c:tx>
            <c:strRef>
              <c:f>'Total pilote (3 scénarios)'!C41</c:f>
              <c:strCache>
                <c:ptCount val="1"/>
                <c:pt idx="0">
                  <c:v>Payplug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'Total pilote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'Total pilote (3 scénarios)'!$C$42:$C$44</c:f>
              <c:numCache>
                <c:formatCode>#,##0" €"</c:formatCode>
                <c:ptCount val="3"/>
                <c:pt idx="0">
                  <c:v>1000.086</c:v>
                </c:pt>
                <c:pt idx="1">
                  <c:v>2003.286</c:v>
                </c:pt>
                <c:pt idx="2">
                  <c:v>3224.286</c:v>
                </c:pt>
              </c:numCache>
            </c:numRef>
          </c:val>
        </c:ser>
        <c:ser>
          <c:idx val="2"/>
          <c:order val="2"/>
          <c:tx>
            <c:strRef>
              <c:f>'Total pilote (3 scénarios)'!D41</c:f>
              <c:strCache>
                <c:ptCount val="1"/>
                <c:pt idx="0">
                  <c:v>Lyra Collect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'Total pilote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'Total pilote (3 scénarios)'!$D$42:$D$44</c:f>
              <c:numCache>
                <c:formatCode>#,##0" €"</c:formatCode>
                <c:ptCount val="3"/>
                <c:pt idx="0">
                  <c:v>1218.684</c:v>
                </c:pt>
                <c:pt idx="1">
                  <c:v>2261.484</c:v>
                </c:pt>
                <c:pt idx="2">
                  <c:v>3581.484</c:v>
                </c:pt>
              </c:numCache>
            </c:numRef>
          </c:val>
        </c:ser>
        <c:ser>
          <c:idx val="3"/>
          <c:order val="3"/>
          <c:tx>
            <c:strRef>
              <c:f>'Total pilote (3 scénarios)'!E41</c:f>
              <c:strCache>
                <c:ptCount val="1"/>
                <c:pt idx="0">
                  <c:v>Monetico (sans abo)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'Total pilote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'Total pilote (3 scénarios)'!$E$42:$E$44</c:f>
              <c:numCache>
                <c:formatCode>#,##0" €"</c:formatCode>
                <c:ptCount val="3"/>
                <c:pt idx="0">
                  <c:v>122.13</c:v>
                </c:pt>
                <c:pt idx="1">
                  <c:v>353.13</c:v>
                </c:pt>
                <c:pt idx="2">
                  <c:v>683.13</c:v>
                </c:pt>
              </c:numCache>
            </c:numRef>
          </c:val>
        </c:ser>
        <c:ser>
          <c:idx val="4"/>
          <c:order val="4"/>
          <c:tx>
            <c:strRef>
              <c:f>'Total pilote (3 scénarios)'!F41</c:f>
              <c:strCache>
                <c:ptCount val="1"/>
                <c:pt idx="0">
                  <c:v>Monetico (abo estimé)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'Total pilote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'Total pilote (3 scénarios)'!$F$42:$F$44</c:f>
              <c:numCache>
                <c:formatCode>#,##0" €"</c:formatCode>
                <c:ptCount val="3"/>
                <c:pt idx="0">
                  <c:v>338.13</c:v>
                </c:pt>
                <c:pt idx="1">
                  <c:v>569.13</c:v>
                </c:pt>
                <c:pt idx="2">
                  <c:v>899.13</c:v>
                </c:pt>
              </c:numCache>
            </c:numRef>
          </c:val>
        </c:ser>
        <c:ser>
          <c:idx val="5"/>
          <c:order val="5"/>
          <c:tx>
            <c:strRef>
              <c:f>'Total pilote (3 scénarios)'!G41</c:f>
              <c:strCache>
                <c:ptCount val="1"/>
                <c:pt idx="0">
                  <c:v>SogeCommerce Lite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'Total pilote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'Total pilote (3 scénarios)'!$G$42:$G$44</c:f>
              <c:numCache>
                <c:formatCode>#,##0" €"</c:formatCode>
                <c:ptCount val="3"/>
                <c:pt idx="0">
                  <c:v>414.93</c:v>
                </c:pt>
                <c:pt idx="1">
                  <c:v>645.93</c:v>
                </c:pt>
                <c:pt idx="2">
                  <c:v>975.93</c:v>
                </c:pt>
              </c:numCache>
            </c:numRef>
          </c:val>
        </c:ser>
        <c:ser>
          <c:idx val="6"/>
          <c:order val="6"/>
          <c:tx>
            <c:strRef>
              <c:f>'Total pilote (3 scénarios)'!H41</c:f>
              <c:strCache>
                <c:ptCount val="1"/>
                <c:pt idx="0">
                  <c:v>SogeCommerce Complet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'Total pilote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'Total pilote (3 scénarios)'!$H$42:$H$44</c:f>
              <c:numCache>
                <c:formatCode>#,##0" €"</c:formatCode>
                <c:ptCount val="3"/>
                <c:pt idx="0">
                  <c:v>838.53</c:v>
                </c:pt>
                <c:pt idx="1">
                  <c:v>1069.53</c:v>
                </c:pt>
                <c:pt idx="2">
                  <c:v>1399.53</c:v>
                </c:pt>
              </c:numCache>
            </c:numRef>
          </c:val>
        </c:ser>
        <c:ser>
          <c:idx val="7"/>
          <c:order val="7"/>
          <c:tx>
            <c:strRef>
              <c:f>'Total pilote (3 scénarios)'!I41</c:f>
              <c:strCache>
                <c:ptCount val="1"/>
                <c:pt idx="0">
                  <c:v>HelloAsso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'Total pilote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'Total pilote (3 scénarios)'!$I$42:$I$44</c:f>
              <c:numCache>
                <c:formatCode>#,##0" €"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2257811"/>
        <c:axId val="8142098"/>
      </c:barChart>
      <c:catAx>
        <c:axId val="22578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2098"/>
        <c:crosses val="autoZero"/>
        <c:auto val="1"/>
        <c:lblAlgn val="ctr"/>
        <c:lblOffset val="100"/>
        <c:noMultiLvlLbl val="0"/>
      </c:catAx>
      <c:valAx>
        <c:axId val="8142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Coût TTC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7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15</xdr:col>
      <xdr:colOff>187200</xdr:colOff>
      <xdr:row>22</xdr:row>
      <xdr:rowOff>135000</xdr:rowOff>
    </xdr:to>
    <xdr:graphicFrame>
      <xdr:nvGraphicFramePr>
        <xdr:cNvPr id="0" name="Chart 1"/>
        <xdr:cNvGraphicFramePr/>
      </xdr:nvGraphicFramePr>
      <xdr:xfrm>
        <a:off x="0" y="3808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175680</xdr:rowOff>
    </xdr:from>
    <xdr:to>
      <xdr:col>15</xdr:col>
      <xdr:colOff>187200</xdr:colOff>
      <xdr:row>45</xdr:row>
      <xdr:rowOff>135000</xdr:rowOff>
    </xdr:to>
    <xdr:graphicFrame>
      <xdr:nvGraphicFramePr>
        <xdr:cNvPr id="1" name="Chart 2"/>
        <xdr:cNvGraphicFramePr/>
      </xdr:nvGraphicFramePr>
      <xdr:xfrm>
        <a:off x="0" y="476244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100</v>
      </c>
      <c r="C6" s="7" t="n">
        <v>15</v>
      </c>
    </row>
    <row r="7" customFormat="false" ht="15" hidden="false" customHeight="false" outlineLevel="0" collapsed="false">
      <c r="A7" s="8" t="s">
        <v>7</v>
      </c>
      <c r="B7" s="9" t="n">
        <v>250</v>
      </c>
      <c r="C7" s="10" t="n">
        <v>20</v>
      </c>
    </row>
    <row r="8" customFormat="false" ht="15" hidden="false" customHeight="false" outlineLevel="0" collapsed="false">
      <c r="A8" s="5" t="s">
        <v>8</v>
      </c>
      <c r="B8" s="6" t="n">
        <v>400</v>
      </c>
      <c r="C8" s="7" t="n">
        <v>25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0" t="s">
        <v>10</v>
      </c>
      <c r="C11" s="11" t="n">
        <v>2</v>
      </c>
    </row>
    <row r="12" customFormat="false" ht="15" hidden="false" customHeight="false" outlineLevel="0" collapsed="false">
      <c r="A12" s="0" t="s">
        <v>11</v>
      </c>
      <c r="C12" s="11" t="n">
        <v>9</v>
      </c>
    </row>
    <row r="14" customFormat="false" ht="15" hidden="false" customHeight="false" outlineLevel="0" collapsed="false">
      <c r="A14" s="3" t="s">
        <v>12</v>
      </c>
    </row>
    <row r="15" customFormat="false" ht="15" hidden="false" customHeight="false" outlineLevel="0" collapsed="false">
      <c r="A15" s="12" t="s">
        <v>13</v>
      </c>
      <c r="C15" s="13" t="n">
        <v>150</v>
      </c>
    </row>
    <row r="16" customFormat="false" ht="15" hidden="false" customHeight="false" outlineLevel="0" collapsed="false">
      <c r="A16" s="12" t="s">
        <v>14</v>
      </c>
      <c r="C16" s="14" t="n">
        <v>0.42</v>
      </c>
    </row>
    <row r="17" customFormat="false" ht="15" hidden="false" customHeight="false" outlineLevel="0" collapsed="false">
      <c r="A17" s="12" t="s">
        <v>15</v>
      </c>
      <c r="C17" s="15" t="n">
        <v>15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12" t="s">
        <v>17</v>
      </c>
      <c r="C20" s="15" t="n">
        <v>25</v>
      </c>
      <c r="D20" s="2" t="s">
        <v>18</v>
      </c>
    </row>
    <row r="21" customFormat="false" ht="15" hidden="false" customHeight="false" outlineLevel="0" collapsed="false">
      <c r="A21" s="12" t="s">
        <v>19</v>
      </c>
      <c r="C21" s="13" t="n">
        <v>2</v>
      </c>
    </row>
    <row r="23" customFormat="false" ht="15" hidden="false" customHeight="false" outlineLevel="0" collapsed="false">
      <c r="A23" s="3" t="s">
        <v>20</v>
      </c>
    </row>
    <row r="24" customFormat="false" ht="15" hidden="false" customHeight="false" outlineLevel="0" collapsed="false">
      <c r="A24" s="0" t="s">
        <v>21</v>
      </c>
      <c r="C24" s="14" t="n">
        <v>0.2</v>
      </c>
    </row>
    <row r="26" customFormat="false" ht="15" hidden="false" customHeight="false" outlineLevel="0" collapsed="false">
      <c r="A26" s="3" t="s">
        <v>22</v>
      </c>
    </row>
    <row r="27" customFormat="false" ht="23.85" hidden="false" customHeight="false" outlineLevel="0" collapsed="false">
      <c r="A27" s="4" t="s">
        <v>23</v>
      </c>
      <c r="B27" s="4" t="s">
        <v>24</v>
      </c>
      <c r="C27" s="4" t="s">
        <v>25</v>
      </c>
      <c r="D27" s="4" t="s">
        <v>26</v>
      </c>
      <c r="E27" s="4" t="s">
        <v>27</v>
      </c>
    </row>
    <row r="28" customFormat="false" ht="15" hidden="false" customHeight="false" outlineLevel="0" collapsed="false">
      <c r="A28" s="5" t="s">
        <v>28</v>
      </c>
      <c r="B28" s="16" t="n">
        <v>0.015</v>
      </c>
      <c r="C28" s="17" t="n">
        <v>0.25</v>
      </c>
      <c r="D28" s="7" t="n">
        <v>0</v>
      </c>
      <c r="E28" s="7" t="n">
        <v>0</v>
      </c>
    </row>
    <row r="29" customFormat="false" ht="15" hidden="false" customHeight="false" outlineLevel="0" collapsed="false">
      <c r="A29" s="5" t="s">
        <v>29</v>
      </c>
      <c r="B29" s="16" t="n">
        <v>0.011</v>
      </c>
      <c r="C29" s="17" t="n">
        <v>0.25</v>
      </c>
      <c r="D29" s="7" t="n">
        <v>30</v>
      </c>
      <c r="E29" s="18" t="n">
        <v>0</v>
      </c>
    </row>
    <row r="30" customFormat="false" ht="15" hidden="false" customHeight="false" outlineLevel="0" collapsed="false">
      <c r="A30" s="5" t="s">
        <v>30</v>
      </c>
      <c r="B30" s="16" t="n">
        <v>0.014</v>
      </c>
      <c r="C30" s="17" t="n">
        <v>0.2</v>
      </c>
      <c r="D30" s="7" t="n">
        <v>40</v>
      </c>
      <c r="E30" s="7" t="n">
        <v>99</v>
      </c>
    </row>
    <row r="31" customFormat="false" ht="15" hidden="false" customHeight="false" outlineLevel="0" collapsed="false">
      <c r="A31" s="5" t="s">
        <v>31</v>
      </c>
      <c r="B31" s="19" t="n">
        <v>0.005</v>
      </c>
      <c r="C31" s="17" t="n">
        <v>0</v>
      </c>
      <c r="D31" s="7" t="n">
        <v>0</v>
      </c>
      <c r="E31" s="7" t="n">
        <v>0</v>
      </c>
    </row>
    <row r="32" customFormat="false" ht="15" hidden="false" customHeight="false" outlineLevel="0" collapsed="false">
      <c r="A32" s="5" t="s">
        <v>32</v>
      </c>
      <c r="B32" s="19" t="n">
        <v>0.005</v>
      </c>
      <c r="C32" s="17" t="n">
        <v>0</v>
      </c>
      <c r="D32" s="18" t="n">
        <v>20</v>
      </c>
      <c r="E32" s="7" t="n">
        <v>0</v>
      </c>
    </row>
    <row r="33" customFormat="false" ht="15" hidden="false" customHeight="false" outlineLevel="0" collapsed="false">
      <c r="A33" s="5" t="s">
        <v>33</v>
      </c>
      <c r="B33" s="19" t="n">
        <v>0.005</v>
      </c>
      <c r="C33" s="17" t="n">
        <v>0</v>
      </c>
      <c r="D33" s="7" t="n">
        <v>16</v>
      </c>
      <c r="E33" s="7" t="n">
        <v>100</v>
      </c>
    </row>
    <row r="34" customFormat="false" ht="15" hidden="false" customHeight="false" outlineLevel="0" collapsed="false">
      <c r="A34" s="5" t="s">
        <v>34</v>
      </c>
      <c r="B34" s="19" t="n">
        <v>0.005</v>
      </c>
      <c r="C34" s="17" t="n">
        <v>0</v>
      </c>
      <c r="D34" s="7" t="n">
        <v>33</v>
      </c>
      <c r="E34" s="7" t="n">
        <v>300</v>
      </c>
    </row>
    <row r="35" customFormat="false" ht="15" hidden="false" customHeight="false" outlineLevel="0" collapsed="false">
      <c r="A35" s="5" t="s">
        <v>35</v>
      </c>
      <c r="B35" s="16" t="n">
        <v>0</v>
      </c>
      <c r="C35" s="17" t="n">
        <v>0</v>
      </c>
      <c r="D35" s="7" t="n">
        <v>0</v>
      </c>
      <c r="E35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9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5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5.05" hidden="false" customHeight="false" outlineLevel="0" collapsed="false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</row>
    <row r="5" customFormat="false" ht="15" hidden="false" customHeight="false" outlineLevel="0" collapsed="false">
      <c r="A5" s="5" t="s">
        <v>55</v>
      </c>
      <c r="B5" s="20" t="n">
        <v>4</v>
      </c>
      <c r="C5" s="20" t="n">
        <v>0</v>
      </c>
      <c r="D5" s="21" t="n">
        <f aca="false">B5-C5</f>
        <v>4</v>
      </c>
      <c r="E5" s="22" t="n">
        <v>1</v>
      </c>
      <c r="F5" s="22" t="n">
        <v>1</v>
      </c>
      <c r="G5" s="22" t="n">
        <v>1</v>
      </c>
      <c r="H5" s="23" t="n">
        <f aca="false">AVERAGE(E5:G5)</f>
        <v>1</v>
      </c>
      <c r="I5" s="23" t="n">
        <f aca="false">D5/FREQ_SEM*H5</f>
        <v>2</v>
      </c>
      <c r="J5" s="20" t="n">
        <v>0</v>
      </c>
      <c r="K5" s="21" t="n">
        <f aca="false">J5*BDE_PART*BDE_PCT</f>
        <v>0</v>
      </c>
      <c r="L5" s="24" t="n">
        <f aca="false">K5*BDE_MT</f>
        <v>0</v>
      </c>
      <c r="M5" s="20" t="n">
        <v>0</v>
      </c>
      <c r="N5" s="21" t="n">
        <f aca="false">M5*EPI_TX</f>
        <v>0</v>
      </c>
      <c r="O5" s="24" t="n">
        <f aca="false">M5*EPI_VOL</f>
        <v>0</v>
      </c>
      <c r="P5" s="21" t="n">
        <f aca="false">NB_MOY*I5+K5+N5</f>
        <v>500</v>
      </c>
      <c r="Q5" s="24" t="n">
        <f aca="false">NB_MOY*I5*MT_MOY+L5+O5</f>
        <v>10000</v>
      </c>
    </row>
    <row r="6" customFormat="false" ht="15" hidden="false" customHeight="false" outlineLevel="0" collapsed="false">
      <c r="A6" s="8" t="s">
        <v>56</v>
      </c>
      <c r="B6" s="25" t="n">
        <v>4</v>
      </c>
      <c r="C6" s="25" t="n">
        <v>1</v>
      </c>
      <c r="D6" s="26" t="n">
        <f aca="false">B6-C6</f>
        <v>3</v>
      </c>
      <c r="E6" s="27" t="n">
        <v>1</v>
      </c>
      <c r="F6" s="27" t="n">
        <v>1</v>
      </c>
      <c r="G6" s="27" t="n">
        <v>1</v>
      </c>
      <c r="H6" s="28" t="n">
        <f aca="false">AVERAGE(E6:G6)</f>
        <v>1</v>
      </c>
      <c r="I6" s="28" t="n">
        <f aca="false">D6/FREQ_SEM*H6</f>
        <v>1.5</v>
      </c>
      <c r="J6" s="25" t="n">
        <v>1</v>
      </c>
      <c r="K6" s="26" t="n">
        <f aca="false">J6*BDE_PART*BDE_PCT</f>
        <v>63</v>
      </c>
      <c r="L6" s="29" t="n">
        <f aca="false">K6*BDE_MT</f>
        <v>945</v>
      </c>
      <c r="M6" s="25" t="n">
        <v>1</v>
      </c>
      <c r="N6" s="26" t="n">
        <f aca="false">M6*EPI_TX</f>
        <v>2</v>
      </c>
      <c r="O6" s="29" t="n">
        <f aca="false">M6*EPI_VOL</f>
        <v>25</v>
      </c>
      <c r="P6" s="26" t="n">
        <f aca="false">NB_MOY*I6+K6+N6</f>
        <v>440</v>
      </c>
      <c r="Q6" s="29" t="n">
        <f aca="false">NB_MOY*I6*MT_MOY+L6+O6</f>
        <v>8470</v>
      </c>
    </row>
    <row r="7" customFormat="false" ht="15" hidden="false" customHeight="false" outlineLevel="0" collapsed="false">
      <c r="A7" s="5" t="s">
        <v>57</v>
      </c>
      <c r="B7" s="20" t="n">
        <v>4</v>
      </c>
      <c r="C7" s="20" t="n">
        <v>0</v>
      </c>
      <c r="D7" s="21" t="n">
        <f aca="false">B7-C7</f>
        <v>4</v>
      </c>
      <c r="E7" s="22" t="n">
        <v>1</v>
      </c>
      <c r="F7" s="22" t="n">
        <v>1</v>
      </c>
      <c r="G7" s="22" t="n">
        <v>1</v>
      </c>
      <c r="H7" s="23" t="n">
        <f aca="false">AVERAGE(E7:G7)</f>
        <v>1</v>
      </c>
      <c r="I7" s="23" t="n">
        <f aca="false">D7/FREQ_SEM*H7</f>
        <v>2</v>
      </c>
      <c r="J7" s="20" t="n">
        <v>1</v>
      </c>
      <c r="K7" s="21" t="n">
        <f aca="false">J7*BDE_PART*BDE_PCT</f>
        <v>63</v>
      </c>
      <c r="L7" s="24" t="n">
        <f aca="false">K7*BDE_MT</f>
        <v>945</v>
      </c>
      <c r="M7" s="20" t="n">
        <v>0</v>
      </c>
      <c r="N7" s="21" t="n">
        <f aca="false">M7*EPI_TX</f>
        <v>0</v>
      </c>
      <c r="O7" s="24" t="n">
        <f aca="false">M7*EPI_VOL</f>
        <v>0</v>
      </c>
      <c r="P7" s="21" t="n">
        <f aca="false">NB_MOY*I7+K7+N7</f>
        <v>563</v>
      </c>
      <c r="Q7" s="24" t="n">
        <f aca="false">NB_MOY*I7*MT_MOY+L7+O7</f>
        <v>10945</v>
      </c>
    </row>
    <row r="8" customFormat="false" ht="15" hidden="false" customHeight="false" outlineLevel="0" collapsed="false">
      <c r="A8" s="8" t="s">
        <v>58</v>
      </c>
      <c r="B8" s="25" t="n">
        <v>4</v>
      </c>
      <c r="C8" s="25" t="n">
        <v>2</v>
      </c>
      <c r="D8" s="26" t="n">
        <f aca="false">B8-C8</f>
        <v>2</v>
      </c>
      <c r="E8" s="27" t="n">
        <v>1</v>
      </c>
      <c r="F8" s="27" t="n">
        <v>1</v>
      </c>
      <c r="G8" s="27" t="n">
        <v>1</v>
      </c>
      <c r="H8" s="28" t="n">
        <f aca="false">AVERAGE(E8:G8)</f>
        <v>1</v>
      </c>
      <c r="I8" s="28" t="n">
        <f aca="false">D8/FREQ_SEM*H8</f>
        <v>1</v>
      </c>
      <c r="J8" s="25" t="n">
        <v>0</v>
      </c>
      <c r="K8" s="26" t="n">
        <f aca="false">J8*BDE_PART*BDE_PCT</f>
        <v>0</v>
      </c>
      <c r="L8" s="29" t="n">
        <f aca="false">K8*BDE_MT</f>
        <v>0</v>
      </c>
      <c r="M8" s="25" t="n">
        <v>1</v>
      </c>
      <c r="N8" s="26" t="n">
        <f aca="false">M8*EPI_TX</f>
        <v>2</v>
      </c>
      <c r="O8" s="29" t="n">
        <f aca="false">M8*EPI_VOL</f>
        <v>25</v>
      </c>
      <c r="P8" s="26" t="n">
        <f aca="false">NB_MOY*I8+K8+N8</f>
        <v>252</v>
      </c>
      <c r="Q8" s="29" t="n">
        <f aca="false">NB_MOY*I8*MT_MOY+L8+O8</f>
        <v>5025</v>
      </c>
    </row>
    <row r="9" customFormat="false" ht="15" hidden="false" customHeight="false" outlineLevel="0" collapsed="false">
      <c r="A9" s="5" t="s">
        <v>59</v>
      </c>
      <c r="B9" s="20" t="n">
        <v>4</v>
      </c>
      <c r="C9" s="20" t="n">
        <v>0</v>
      </c>
      <c r="D9" s="21" t="n">
        <f aca="false">B9-C9</f>
        <v>4</v>
      </c>
      <c r="E9" s="22" t="n">
        <v>1</v>
      </c>
      <c r="F9" s="22" t="n">
        <v>1</v>
      </c>
      <c r="G9" s="22" t="n">
        <v>0</v>
      </c>
      <c r="H9" s="23" t="n">
        <f aca="false">AVERAGE(E9:G9)</f>
        <v>0.666666666666667</v>
      </c>
      <c r="I9" s="23" t="n">
        <f aca="false">D9/FREQ_SEM*H9</f>
        <v>1.33333333333333</v>
      </c>
      <c r="J9" s="20" t="n">
        <v>0</v>
      </c>
      <c r="K9" s="21" t="n">
        <f aca="false">J9*BDE_PART*BDE_PCT</f>
        <v>0</v>
      </c>
      <c r="L9" s="24" t="n">
        <f aca="false">K9*BDE_MT</f>
        <v>0</v>
      </c>
      <c r="M9" s="20" t="n">
        <v>0</v>
      </c>
      <c r="N9" s="21" t="n">
        <f aca="false">M9*EPI_TX</f>
        <v>0</v>
      </c>
      <c r="O9" s="24" t="n">
        <f aca="false">M9*EPI_VOL</f>
        <v>0</v>
      </c>
      <c r="P9" s="21" t="n">
        <f aca="false">NB_MOY*I9+K9+N9</f>
        <v>333.333333333333</v>
      </c>
      <c r="Q9" s="24" t="n">
        <f aca="false">NB_MOY*I9*MT_MOY+L9+O9</f>
        <v>6666.66666666667</v>
      </c>
    </row>
    <row r="10" customFormat="false" ht="15" hidden="false" customHeight="false" outlineLevel="0" collapsed="false">
      <c r="A10" s="8" t="s">
        <v>60</v>
      </c>
      <c r="B10" s="25" t="n">
        <v>4</v>
      </c>
      <c r="C10" s="25" t="n">
        <v>2</v>
      </c>
      <c r="D10" s="26" t="n">
        <f aca="false">B10-C10</f>
        <v>2</v>
      </c>
      <c r="E10" s="27" t="n">
        <v>1</v>
      </c>
      <c r="F10" s="27" t="n">
        <v>1</v>
      </c>
      <c r="G10" s="27" t="n">
        <v>0</v>
      </c>
      <c r="H10" s="28" t="n">
        <f aca="false">AVERAGE(E10:G10)</f>
        <v>0.666666666666667</v>
      </c>
      <c r="I10" s="28" t="n">
        <f aca="false">D10/FREQ_SEM*H10</f>
        <v>0.666666666666667</v>
      </c>
      <c r="J10" s="25" t="n">
        <v>1</v>
      </c>
      <c r="K10" s="26" t="n">
        <f aca="false">J10*BDE_PART*BDE_PCT</f>
        <v>63</v>
      </c>
      <c r="L10" s="29" t="n">
        <f aca="false">K10*BDE_MT</f>
        <v>945</v>
      </c>
      <c r="M10" s="25" t="n">
        <v>0</v>
      </c>
      <c r="N10" s="26" t="n">
        <f aca="false">M10*EPI_TX</f>
        <v>0</v>
      </c>
      <c r="O10" s="29" t="n">
        <f aca="false">M10*EPI_VOL</f>
        <v>0</v>
      </c>
      <c r="P10" s="26" t="n">
        <f aca="false">NB_MOY*I10+K10+N10</f>
        <v>229.666666666667</v>
      </c>
      <c r="Q10" s="29" t="n">
        <f aca="false">NB_MOY*I10*MT_MOY+L10+O10</f>
        <v>4278.33333333333</v>
      </c>
    </row>
    <row r="11" customFormat="false" ht="15" hidden="false" customHeight="false" outlineLevel="0" collapsed="false">
      <c r="A11" s="5" t="s">
        <v>61</v>
      </c>
      <c r="B11" s="20" t="n">
        <v>4</v>
      </c>
      <c r="C11" s="20" t="n">
        <v>0</v>
      </c>
      <c r="D11" s="21" t="n">
        <f aca="false">B11-C11</f>
        <v>4</v>
      </c>
      <c r="E11" s="22" t="n">
        <v>1</v>
      </c>
      <c r="F11" s="22" t="n">
        <v>1</v>
      </c>
      <c r="G11" s="22" t="n">
        <v>0</v>
      </c>
      <c r="H11" s="23" t="n">
        <f aca="false">AVERAGE(E11:G11)</f>
        <v>0.666666666666667</v>
      </c>
      <c r="I11" s="23" t="n">
        <f aca="false">D11/FREQ_SEM*H11</f>
        <v>1.33333333333333</v>
      </c>
      <c r="J11" s="20" t="n">
        <v>1</v>
      </c>
      <c r="K11" s="21" t="n">
        <f aca="false">J11*BDE_PART*BDE_PCT</f>
        <v>63</v>
      </c>
      <c r="L11" s="24" t="n">
        <f aca="false">K11*BDE_MT</f>
        <v>945</v>
      </c>
      <c r="M11" s="20" t="n">
        <v>1</v>
      </c>
      <c r="N11" s="21" t="n">
        <f aca="false">M11*EPI_TX</f>
        <v>2</v>
      </c>
      <c r="O11" s="24" t="n">
        <f aca="false">M11*EPI_VOL</f>
        <v>25</v>
      </c>
      <c r="P11" s="21" t="n">
        <f aca="false">NB_MOY*I11+K11+N11</f>
        <v>398.333333333333</v>
      </c>
      <c r="Q11" s="24" t="n">
        <f aca="false">NB_MOY*I11*MT_MOY+L11+O11</f>
        <v>7636.66666666667</v>
      </c>
    </row>
    <row r="12" customFormat="false" ht="15" hidden="false" customHeight="false" outlineLevel="0" collapsed="false">
      <c r="A12" s="8" t="s">
        <v>62</v>
      </c>
      <c r="B12" s="25" t="n">
        <v>4</v>
      </c>
      <c r="C12" s="25" t="n">
        <v>2</v>
      </c>
      <c r="D12" s="26" t="n">
        <f aca="false">B12-C12</f>
        <v>2</v>
      </c>
      <c r="E12" s="27" t="n">
        <v>1</v>
      </c>
      <c r="F12" s="27" t="n">
        <v>0.5</v>
      </c>
      <c r="G12" s="27" t="n">
        <v>0</v>
      </c>
      <c r="H12" s="28" t="n">
        <f aca="false">AVERAGE(E12:G12)</f>
        <v>0.5</v>
      </c>
      <c r="I12" s="28" t="n">
        <f aca="false">D12/FREQ_SEM*H12</f>
        <v>0.5</v>
      </c>
      <c r="J12" s="25" t="n">
        <v>0</v>
      </c>
      <c r="K12" s="26" t="n">
        <f aca="false">J12*BDE_PART*BDE_PCT</f>
        <v>0</v>
      </c>
      <c r="L12" s="29" t="n">
        <f aca="false">K12*BDE_MT</f>
        <v>0</v>
      </c>
      <c r="M12" s="25" t="n">
        <v>0</v>
      </c>
      <c r="N12" s="26" t="n">
        <f aca="false">M12*EPI_TX</f>
        <v>0</v>
      </c>
      <c r="O12" s="29" t="n">
        <f aca="false">M12*EPI_VOL</f>
        <v>0</v>
      </c>
      <c r="P12" s="26" t="n">
        <f aca="false">NB_MOY*I12+K12+N12</f>
        <v>125</v>
      </c>
      <c r="Q12" s="29" t="n">
        <f aca="false">NB_MOY*I12*MT_MOY+L12+O12</f>
        <v>2500</v>
      </c>
    </row>
    <row r="13" customFormat="false" ht="15" hidden="false" customHeight="false" outlineLevel="0" collapsed="false">
      <c r="A13" s="5" t="s">
        <v>63</v>
      </c>
      <c r="B13" s="20" t="n">
        <v>4</v>
      </c>
      <c r="C13" s="20" t="n">
        <v>0</v>
      </c>
      <c r="D13" s="21" t="n">
        <f aca="false">B13-C13</f>
        <v>4</v>
      </c>
      <c r="E13" s="22" t="n">
        <v>1</v>
      </c>
      <c r="F13" s="22" t="n">
        <v>0</v>
      </c>
      <c r="G13" s="22" t="n">
        <v>0</v>
      </c>
      <c r="H13" s="23" t="n">
        <f aca="false">AVERAGE(E13:G13)</f>
        <v>0.333333333333333</v>
      </c>
      <c r="I13" s="23" t="n">
        <f aca="false">D13/FREQ_SEM*H13</f>
        <v>0.666666666666667</v>
      </c>
      <c r="J13" s="20" t="n">
        <v>0</v>
      </c>
      <c r="K13" s="21" t="n">
        <f aca="false">J13*BDE_PART*BDE_PCT</f>
        <v>0</v>
      </c>
      <c r="L13" s="24" t="n">
        <f aca="false">K13*BDE_MT</f>
        <v>0</v>
      </c>
      <c r="M13" s="20" t="n">
        <v>0</v>
      </c>
      <c r="N13" s="21" t="n">
        <f aca="false">M13*EPI_TX</f>
        <v>0</v>
      </c>
      <c r="O13" s="24" t="n">
        <f aca="false">M13*EPI_VOL</f>
        <v>0</v>
      </c>
      <c r="P13" s="21" t="n">
        <f aca="false">NB_MOY*I13+K13+N13</f>
        <v>166.666666666667</v>
      </c>
      <c r="Q13" s="24" t="n">
        <f aca="false">NB_MOY*I13*MT_MOY+L13+O13</f>
        <v>3333.33333333333</v>
      </c>
    </row>
    <row r="14" customFormat="false" ht="15" hidden="false" customHeight="false" outlineLevel="0" collapsed="false">
      <c r="A14" s="30" t="s">
        <v>64</v>
      </c>
      <c r="B14" s="31"/>
      <c r="C14" s="31"/>
      <c r="D14" s="31"/>
      <c r="E14" s="31"/>
      <c r="F14" s="31"/>
      <c r="G14" s="31"/>
      <c r="H14" s="31"/>
      <c r="I14" s="32" t="n">
        <f aca="false">SUM(I5:I13)</f>
        <v>11</v>
      </c>
      <c r="J14" s="31"/>
      <c r="K14" s="33" t="n">
        <f aca="false">SUM(K5:K13)</f>
        <v>252</v>
      </c>
      <c r="L14" s="34" t="n">
        <f aca="false">SUM(L5:L13)</f>
        <v>3780</v>
      </c>
      <c r="M14" s="31"/>
      <c r="N14" s="33" t="n">
        <f aca="false">SUM(N5:N13)</f>
        <v>6</v>
      </c>
      <c r="O14" s="34" t="n">
        <f aca="false">SUM(O5:O13)</f>
        <v>75</v>
      </c>
      <c r="P14" s="33" t="n">
        <f aca="false">SUM(P5:P13)</f>
        <v>3008</v>
      </c>
      <c r="Q14" s="34" t="n">
        <f aca="false">SUM(Q5:Q13)</f>
        <v>58855</v>
      </c>
    </row>
  </sheetData>
  <sheetProtection sheet="true" formatCells="fals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11" min="4" style="0" width="14"/>
  </cols>
  <sheetData>
    <row r="1" customFormat="false" ht="16.15" hidden="false" customHeight="false" outlineLevel="0" collapsed="false">
      <c r="A1" s="1" t="s">
        <v>65</v>
      </c>
    </row>
    <row r="3" customFormat="false" ht="23.85" hidden="false" customHeight="false" outlineLevel="0" collapsed="false">
      <c r="A3" s="4" t="s">
        <v>38</v>
      </c>
      <c r="B3" s="4" t="s">
        <v>66</v>
      </c>
      <c r="C3" s="4" t="s">
        <v>67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</row>
    <row r="4" customFormat="false" ht="15" hidden="false" customHeight="false" outlineLevel="0" collapsed="false">
      <c r="A4" s="35" t="str">
        <f aca="false">'Calendrier pilote'!A5</f>
        <v>Septembre</v>
      </c>
      <c r="B4" s="36" t="n">
        <f aca="false">'Calendrier pilote'!P5</f>
        <v>500</v>
      </c>
      <c r="C4" s="37" t="n">
        <f aca="false">'Calendrier pilote'!Q5</f>
        <v>10000</v>
      </c>
      <c r="D4" s="38" t="n">
        <f aca="false">$C4*STRIPE_PCT+$B4*STRIPE_FIX+STRIPE_ABO+STRIPE_ENT</f>
        <v>275</v>
      </c>
      <c r="E4" s="38" t="n">
        <f aca="false">$C4*PAYPLUG_PCT+$B4*PAYPLUG_FIX+PAYPLUG_ABO+PAYPLUG_ENT</f>
        <v>265</v>
      </c>
      <c r="F4" s="38" t="n">
        <f aca="false">$C4*LYRA_PCT+$B4*LYRA_FIX+LYRA_ABO+LYRA_ENT</f>
        <v>379</v>
      </c>
      <c r="G4" s="38" t="n">
        <f aca="false">$C4*MON1_PCT+$B4*MON1_FIX+MON1_ABO+MON1_ENT</f>
        <v>50</v>
      </c>
      <c r="H4" s="38" t="n">
        <f aca="false">$C4*MON2_PCT+$B4*MON2_FIX+MON2_ABO+MON2_ENT</f>
        <v>70</v>
      </c>
      <c r="I4" s="38" t="n">
        <f aca="false">$C4*SOGEL_PCT+$B4*SOGEL_FIX+SOGEL_ABO+SOGEL_ENT</f>
        <v>166</v>
      </c>
      <c r="J4" s="38" t="n">
        <f aca="false">$C4*SOGEC_PCT+$B4*SOGEC_FIX+SOGEC_ABO+SOGEC_ENT</f>
        <v>383</v>
      </c>
      <c r="K4" s="38" t="n">
        <f aca="false">$C4*HELLO_PCT+$B4*HELLO_FIX+HELLO_ABO+HELLO_ENT</f>
        <v>0</v>
      </c>
    </row>
    <row r="5" customFormat="false" ht="15" hidden="false" customHeight="false" outlineLevel="0" collapsed="false">
      <c r="A5" s="39" t="str">
        <f aca="false">'Calendrier pilote'!A6</f>
        <v>Octobre</v>
      </c>
      <c r="B5" s="40" t="n">
        <f aca="false">'Calendrier pilote'!P6</f>
        <v>440</v>
      </c>
      <c r="C5" s="41" t="n">
        <f aca="false">'Calendrier pilote'!Q6</f>
        <v>8470</v>
      </c>
      <c r="D5" s="42" t="n">
        <f aca="false">$C5*STRIPE_PCT+$B5*STRIPE_FIX+STRIPE_ABO</f>
        <v>237.05</v>
      </c>
      <c r="E5" s="42" t="n">
        <f aca="false">$C5*PAYPLUG_PCT+$B5*PAYPLUG_FIX+PAYPLUG_ABO</f>
        <v>233.17</v>
      </c>
      <c r="F5" s="42" t="n">
        <f aca="false">$C5*LYRA_PCT+$B5*LYRA_FIX+LYRA_ABO</f>
        <v>246.58</v>
      </c>
      <c r="G5" s="42" t="n">
        <f aca="false">$C5*MON1_PCT+$B5*MON1_FIX+MON1_ABO</f>
        <v>42.35</v>
      </c>
      <c r="H5" s="42" t="n">
        <f aca="false">$C5*MON2_PCT+$B5*MON2_FIX+MON2_ABO</f>
        <v>62.35</v>
      </c>
      <c r="I5" s="42" t="n">
        <f aca="false">$C5*SOGEL_PCT+$B5*SOGEL_FIX+SOGEL_ABO</f>
        <v>58.35</v>
      </c>
      <c r="J5" s="42" t="n">
        <f aca="false">$C5*SOGEC_PCT+$B5*SOGEC_FIX+SOGEC_ABO</f>
        <v>75.35</v>
      </c>
      <c r="K5" s="42" t="n">
        <f aca="false">$C5*HELLO_PCT+$B5*HELLO_FIX+HELLO_ABO</f>
        <v>0</v>
      </c>
    </row>
    <row r="6" customFormat="false" ht="15" hidden="false" customHeight="false" outlineLevel="0" collapsed="false">
      <c r="A6" s="35" t="str">
        <f aca="false">'Calendrier pilote'!A7</f>
        <v>Novembre</v>
      </c>
      <c r="B6" s="36" t="n">
        <f aca="false">'Calendrier pilote'!P7</f>
        <v>563</v>
      </c>
      <c r="C6" s="37" t="n">
        <f aca="false">'Calendrier pilote'!Q7</f>
        <v>10945</v>
      </c>
      <c r="D6" s="38" t="n">
        <f aca="false">$C6*STRIPE_PCT+$B6*STRIPE_FIX+STRIPE_ABO</f>
        <v>304.925</v>
      </c>
      <c r="E6" s="38" t="n">
        <f aca="false">$C6*PAYPLUG_PCT+$B6*PAYPLUG_FIX+PAYPLUG_ABO</f>
        <v>291.145</v>
      </c>
      <c r="F6" s="38" t="n">
        <f aca="false">$C6*LYRA_PCT+$B6*LYRA_FIX+LYRA_ABO</f>
        <v>305.83</v>
      </c>
      <c r="G6" s="38" t="n">
        <f aca="false">$C6*MON1_PCT+$B6*MON1_FIX+MON1_ABO</f>
        <v>54.725</v>
      </c>
      <c r="H6" s="38" t="n">
        <f aca="false">$C6*MON2_PCT+$B6*MON2_FIX+MON2_ABO</f>
        <v>74.725</v>
      </c>
      <c r="I6" s="38" t="n">
        <f aca="false">$C6*SOGEL_PCT+$B6*SOGEL_FIX+SOGEL_ABO</f>
        <v>70.725</v>
      </c>
      <c r="J6" s="38" t="n">
        <f aca="false">$C6*SOGEC_PCT+$B6*SOGEC_FIX+SOGEC_ABO</f>
        <v>87.725</v>
      </c>
      <c r="K6" s="38" t="n">
        <f aca="false">$C6*HELLO_PCT+$B6*HELLO_FIX+HELLO_ABO</f>
        <v>0</v>
      </c>
    </row>
    <row r="7" customFormat="false" ht="15" hidden="false" customHeight="false" outlineLevel="0" collapsed="false">
      <c r="A7" s="39" t="str">
        <f aca="false">'Calendrier pilote'!A8</f>
        <v>Décembre</v>
      </c>
      <c r="B7" s="40" t="n">
        <f aca="false">'Calendrier pilote'!P8</f>
        <v>252</v>
      </c>
      <c r="C7" s="41" t="n">
        <f aca="false">'Calendrier pilote'!Q8</f>
        <v>5025</v>
      </c>
      <c r="D7" s="42" t="n">
        <f aca="false">$C7*STRIPE_PCT+$B7*STRIPE_FIX+STRIPE_ABO</f>
        <v>138.375</v>
      </c>
      <c r="E7" s="42" t="n">
        <f aca="false">$C7*PAYPLUG_PCT+$B7*PAYPLUG_FIX+PAYPLUG_ABO</f>
        <v>148.275</v>
      </c>
      <c r="F7" s="42" t="n">
        <f aca="false">$C7*LYRA_PCT+$B7*LYRA_FIX+LYRA_ABO</f>
        <v>160.75</v>
      </c>
      <c r="G7" s="42" t="n">
        <f aca="false">$C7*MON1_PCT+$B7*MON1_FIX+MON1_ABO</f>
        <v>25.125</v>
      </c>
      <c r="H7" s="42" t="n">
        <f aca="false">$C7*MON2_PCT+$B7*MON2_FIX+MON2_ABO</f>
        <v>45.125</v>
      </c>
      <c r="I7" s="42" t="n">
        <f aca="false">$C7*SOGEL_PCT+$B7*SOGEL_FIX+SOGEL_ABO</f>
        <v>41.125</v>
      </c>
      <c r="J7" s="42" t="n">
        <f aca="false">$C7*SOGEC_PCT+$B7*SOGEC_FIX+SOGEC_ABO</f>
        <v>58.125</v>
      </c>
      <c r="K7" s="42" t="n">
        <f aca="false">$C7*HELLO_PCT+$B7*HELLO_FIX+HELLO_ABO</f>
        <v>0</v>
      </c>
    </row>
    <row r="8" customFormat="false" ht="15" hidden="false" customHeight="false" outlineLevel="0" collapsed="false">
      <c r="A8" s="35" t="str">
        <f aca="false">'Calendrier pilote'!A9</f>
        <v>Janvier</v>
      </c>
      <c r="B8" s="36" t="n">
        <f aca="false">'Calendrier pilote'!P9</f>
        <v>333.333333333333</v>
      </c>
      <c r="C8" s="37" t="n">
        <f aca="false">'Calendrier pilote'!Q9</f>
        <v>6666.66666666667</v>
      </c>
      <c r="D8" s="38" t="n">
        <f aca="false">$C8*STRIPE_PCT+$B8*STRIPE_FIX+STRIPE_ABO</f>
        <v>183.333333333333</v>
      </c>
      <c r="E8" s="38" t="n">
        <f aca="false">$C8*PAYPLUG_PCT+$B8*PAYPLUG_FIX+PAYPLUG_ABO</f>
        <v>186.666666666667</v>
      </c>
      <c r="F8" s="38" t="n">
        <f aca="false">$C8*LYRA_PCT+$B8*LYRA_FIX+LYRA_ABO</f>
        <v>200</v>
      </c>
      <c r="G8" s="38" t="n">
        <f aca="false">$C8*MON1_PCT+$B8*MON1_FIX+MON1_ABO</f>
        <v>33.3333333333333</v>
      </c>
      <c r="H8" s="38" t="n">
        <f aca="false">$C8*MON2_PCT+$B8*MON2_FIX+MON2_ABO</f>
        <v>53.3333333333333</v>
      </c>
      <c r="I8" s="38" t="n">
        <f aca="false">$C8*SOGEL_PCT+$B8*SOGEL_FIX+SOGEL_ABO</f>
        <v>49.3333333333333</v>
      </c>
      <c r="J8" s="38" t="n">
        <f aca="false">$C8*SOGEC_PCT+$B8*SOGEC_FIX+SOGEC_ABO</f>
        <v>66.3333333333333</v>
      </c>
      <c r="K8" s="38" t="n">
        <f aca="false">$C8*HELLO_PCT+$B8*HELLO_FIX+HELLO_ABO</f>
        <v>0</v>
      </c>
    </row>
    <row r="9" customFormat="false" ht="15" hidden="false" customHeight="false" outlineLevel="0" collapsed="false">
      <c r="A9" s="39" t="str">
        <f aca="false">'Calendrier pilote'!A10</f>
        <v>Février</v>
      </c>
      <c r="B9" s="40" t="n">
        <f aca="false">'Calendrier pilote'!P10</f>
        <v>229.666666666667</v>
      </c>
      <c r="C9" s="41" t="n">
        <f aca="false">'Calendrier pilote'!Q10</f>
        <v>4278.33333333333</v>
      </c>
      <c r="D9" s="42" t="n">
        <f aca="false">$C9*STRIPE_PCT+$B9*STRIPE_FIX+STRIPE_ABO</f>
        <v>121.591666666667</v>
      </c>
      <c r="E9" s="42" t="n">
        <f aca="false">$C9*PAYPLUG_PCT+$B9*PAYPLUG_FIX+PAYPLUG_ABO</f>
        <v>134.478333333333</v>
      </c>
      <c r="F9" s="42" t="n">
        <f aca="false">$C9*LYRA_PCT+$B9*LYRA_FIX+LYRA_ABO</f>
        <v>145.83</v>
      </c>
      <c r="G9" s="42" t="n">
        <f aca="false">$C9*MON1_PCT+$B9*MON1_FIX+MON1_ABO</f>
        <v>21.3916666666667</v>
      </c>
      <c r="H9" s="42" t="n">
        <f aca="false">$C9*MON2_PCT+$B9*MON2_FIX+MON2_ABO</f>
        <v>41.3916666666667</v>
      </c>
      <c r="I9" s="42" t="n">
        <f aca="false">$C9*SOGEL_PCT+$B9*SOGEL_FIX+SOGEL_ABO</f>
        <v>37.3916666666667</v>
      </c>
      <c r="J9" s="42" t="n">
        <f aca="false">$C9*SOGEC_PCT+$B9*SOGEC_FIX+SOGEC_ABO</f>
        <v>54.3916666666667</v>
      </c>
      <c r="K9" s="42" t="n">
        <f aca="false">$C9*HELLO_PCT+$B9*HELLO_FIX+HELLO_ABO</f>
        <v>0</v>
      </c>
    </row>
    <row r="10" customFormat="false" ht="15" hidden="false" customHeight="false" outlineLevel="0" collapsed="false">
      <c r="A10" s="35" t="str">
        <f aca="false">'Calendrier pilote'!A11</f>
        <v>Mars</v>
      </c>
      <c r="B10" s="36" t="n">
        <f aca="false">'Calendrier pilote'!P11</f>
        <v>398.333333333333</v>
      </c>
      <c r="C10" s="37" t="n">
        <f aca="false">'Calendrier pilote'!Q11</f>
        <v>7636.66666666667</v>
      </c>
      <c r="D10" s="38" t="n">
        <f aca="false">$C10*STRIPE_PCT+$B10*STRIPE_FIX+STRIPE_ABO</f>
        <v>214.133333333333</v>
      </c>
      <c r="E10" s="38" t="n">
        <f aca="false">$C10*PAYPLUG_PCT+$B10*PAYPLUG_FIX+PAYPLUG_ABO</f>
        <v>213.586666666667</v>
      </c>
      <c r="F10" s="38" t="n">
        <f aca="false">$C10*LYRA_PCT+$B10*LYRA_FIX+LYRA_ABO</f>
        <v>226.58</v>
      </c>
      <c r="G10" s="38" t="n">
        <f aca="false">$C10*MON1_PCT+$B10*MON1_FIX+MON1_ABO</f>
        <v>38.1833333333333</v>
      </c>
      <c r="H10" s="38" t="n">
        <f aca="false">$C10*MON2_PCT+$B10*MON2_FIX+MON2_ABO</f>
        <v>58.1833333333333</v>
      </c>
      <c r="I10" s="38" t="n">
        <f aca="false">$C10*SOGEL_PCT+$B10*SOGEL_FIX+SOGEL_ABO</f>
        <v>54.1833333333333</v>
      </c>
      <c r="J10" s="38" t="n">
        <f aca="false">$C10*SOGEC_PCT+$B10*SOGEC_FIX+SOGEC_ABO</f>
        <v>71.1833333333333</v>
      </c>
      <c r="K10" s="38" t="n">
        <f aca="false">$C10*HELLO_PCT+$B10*HELLO_FIX+HELLO_ABO</f>
        <v>0</v>
      </c>
    </row>
    <row r="11" customFormat="false" ht="15" hidden="false" customHeight="false" outlineLevel="0" collapsed="false">
      <c r="A11" s="39" t="str">
        <f aca="false">'Calendrier pilote'!A12</f>
        <v>Avril</v>
      </c>
      <c r="B11" s="40" t="n">
        <f aca="false">'Calendrier pilote'!P12</f>
        <v>125</v>
      </c>
      <c r="C11" s="41" t="n">
        <f aca="false">'Calendrier pilote'!Q12</f>
        <v>2500</v>
      </c>
      <c r="D11" s="42" t="n">
        <f aca="false">$C11*STRIPE_PCT+$B11*STRIPE_FIX+STRIPE_ABO</f>
        <v>68.75</v>
      </c>
      <c r="E11" s="42" t="n">
        <f aca="false">$C11*PAYPLUG_PCT+$B11*PAYPLUG_FIX+PAYPLUG_ABO</f>
        <v>88.75</v>
      </c>
      <c r="F11" s="42" t="n">
        <f aca="false">$C11*LYRA_PCT+$B11*LYRA_FIX+LYRA_ABO</f>
        <v>100</v>
      </c>
      <c r="G11" s="42" t="n">
        <f aca="false">$C11*MON1_PCT+$B11*MON1_FIX+MON1_ABO</f>
        <v>12.5</v>
      </c>
      <c r="H11" s="42" t="n">
        <f aca="false">$C11*MON2_PCT+$B11*MON2_FIX+MON2_ABO</f>
        <v>32.5</v>
      </c>
      <c r="I11" s="42" t="n">
        <f aca="false">$C11*SOGEL_PCT+$B11*SOGEL_FIX+SOGEL_ABO</f>
        <v>28.5</v>
      </c>
      <c r="J11" s="42" t="n">
        <f aca="false">$C11*SOGEC_PCT+$B11*SOGEC_FIX+SOGEC_ABO</f>
        <v>45.5</v>
      </c>
      <c r="K11" s="42" t="n">
        <f aca="false">$C11*HELLO_PCT+$B11*HELLO_FIX+HELLO_ABO</f>
        <v>0</v>
      </c>
    </row>
    <row r="12" customFormat="false" ht="15" hidden="false" customHeight="false" outlineLevel="0" collapsed="false">
      <c r="A12" s="35" t="str">
        <f aca="false">'Calendrier pilote'!A13</f>
        <v>Mai</v>
      </c>
      <c r="B12" s="36" t="n">
        <f aca="false">'Calendrier pilote'!P13</f>
        <v>166.666666666667</v>
      </c>
      <c r="C12" s="37" t="n">
        <f aca="false">'Calendrier pilote'!Q13</f>
        <v>3333.33333333333</v>
      </c>
      <c r="D12" s="38" t="n">
        <f aca="false">$C12*STRIPE_PCT+$B12*STRIPE_FIX+STRIPE_ABO</f>
        <v>91.6666666666667</v>
      </c>
      <c r="E12" s="38" t="n">
        <f aca="false">$C12*PAYPLUG_PCT+$B12*PAYPLUG_FIX+PAYPLUG_ABO</f>
        <v>108.333333333333</v>
      </c>
      <c r="F12" s="38" t="n">
        <f aca="false">$C12*LYRA_PCT+$B12*LYRA_FIX+LYRA_ABO</f>
        <v>120</v>
      </c>
      <c r="G12" s="38" t="n">
        <f aca="false">$C12*MON1_PCT+$B12*MON1_FIX+MON1_ABO</f>
        <v>16.6666666666667</v>
      </c>
      <c r="H12" s="38" t="n">
        <f aca="false">$C12*MON2_PCT+$B12*MON2_FIX+MON2_ABO</f>
        <v>36.6666666666667</v>
      </c>
      <c r="I12" s="38" t="n">
        <f aca="false">$C12*SOGEL_PCT+$B12*SOGEL_FIX+SOGEL_ABO</f>
        <v>32.6666666666667</v>
      </c>
      <c r="J12" s="38" t="n">
        <f aca="false">$C12*SOGEC_PCT+$B12*SOGEC_FIX+SOGEC_ABO</f>
        <v>49.6666666666667</v>
      </c>
      <c r="K12" s="38" t="n">
        <f aca="false">$C12*HELLO_PCT+$B12*HELLO_FIX+HELLO_ABO</f>
        <v>0</v>
      </c>
    </row>
    <row r="13" customFormat="false" ht="15" hidden="false" customHeight="false" outlineLevel="0" collapsed="false">
      <c r="A13" s="30" t="s">
        <v>68</v>
      </c>
      <c r="B13" s="33" t="n">
        <f aca="false">SUM(B4:B12)</f>
        <v>3008</v>
      </c>
      <c r="C13" s="34" t="n">
        <f aca="false">SUM(C4:C12)</f>
        <v>58855</v>
      </c>
      <c r="D13" s="43" t="n">
        <f aca="false">SUM(D4:D12)</f>
        <v>1634.825</v>
      </c>
      <c r="E13" s="43" t="n">
        <f aca="false">SUM(E4:E12)</f>
        <v>1669.405</v>
      </c>
      <c r="F13" s="43" t="n">
        <f aca="false">SUM(F4:F12)</f>
        <v>1884.57</v>
      </c>
      <c r="G13" s="43" t="n">
        <f aca="false">SUM(G4:G12)</f>
        <v>294.275</v>
      </c>
      <c r="H13" s="43" t="n">
        <f aca="false">SUM(H4:H12)</f>
        <v>474.275</v>
      </c>
      <c r="I13" s="43" t="n">
        <f aca="false">SUM(I4:I12)</f>
        <v>538.275</v>
      </c>
      <c r="J13" s="43" t="n">
        <f aca="false">SUM(J4:J12)</f>
        <v>891.275</v>
      </c>
      <c r="K13" s="43" t="n">
        <f aca="false">SUM(K4:K12)</f>
        <v>0</v>
      </c>
    </row>
    <row r="14" customFormat="false" ht="15" hidden="false" customHeight="false" outlineLevel="0" collapsed="false">
      <c r="A14" s="30" t="s">
        <v>69</v>
      </c>
      <c r="B14" s="31"/>
      <c r="C14" s="31"/>
      <c r="D14" s="43" t="n">
        <f aca="false">D13*(1+TVA)</f>
        <v>1961.79</v>
      </c>
      <c r="E14" s="43" t="n">
        <f aca="false">E13*(1+TVA)</f>
        <v>2003.286</v>
      </c>
      <c r="F14" s="43" t="n">
        <f aca="false">F13*(1+TVA)</f>
        <v>2261.484</v>
      </c>
      <c r="G14" s="43" t="n">
        <f aca="false">G13*(1+TVA)</f>
        <v>353.13</v>
      </c>
      <c r="H14" s="43" t="n">
        <f aca="false">H13*(1+TVA)</f>
        <v>569.13</v>
      </c>
      <c r="I14" s="43" t="n">
        <f aca="false">I13*(1+TVA)</f>
        <v>645.93</v>
      </c>
      <c r="J14" s="43" t="n">
        <f aca="false">J13*(1+TVA)</f>
        <v>1069.53</v>
      </c>
      <c r="K14" s="43" t="n">
        <f aca="false">K13*(1+TVA)</f>
        <v>0</v>
      </c>
    </row>
  </sheetData>
  <sheetProtection sheet="true" formatCells="false" formatColumns="false" formatRows="false"/>
  <conditionalFormatting sqref="D4:K4">
    <cfRule type="colorScale" priority="2">
      <colorScale>
        <cfvo type="min" val="0"/>
        <cfvo type="max" val="0"/>
        <color rgb="FF63BE7B"/>
        <color rgb="FFF8696B"/>
      </colorScale>
    </cfRule>
  </conditionalFormatting>
  <conditionalFormatting sqref="D5:K5">
    <cfRule type="colorScale" priority="3">
      <colorScale>
        <cfvo type="min" val="0"/>
        <cfvo type="max" val="0"/>
        <color rgb="FF63BE7B"/>
        <color rgb="FFF8696B"/>
      </colorScale>
    </cfRule>
  </conditionalFormatting>
  <conditionalFormatting sqref="D6:K6">
    <cfRule type="colorScale" priority="4">
      <colorScale>
        <cfvo type="min" val="0"/>
        <cfvo type="max" val="0"/>
        <color rgb="FF63BE7B"/>
        <color rgb="FFF8696B"/>
      </colorScale>
    </cfRule>
  </conditionalFormatting>
  <conditionalFormatting sqref="D7:K7">
    <cfRule type="colorScale" priority="5">
      <colorScale>
        <cfvo type="min" val="0"/>
        <cfvo type="max" val="0"/>
        <color rgb="FF63BE7B"/>
        <color rgb="FFF8696B"/>
      </colorScale>
    </cfRule>
  </conditionalFormatting>
  <conditionalFormatting sqref="D8:K8">
    <cfRule type="colorScale" priority="6">
      <colorScale>
        <cfvo type="min" val="0"/>
        <cfvo type="max" val="0"/>
        <color rgb="FF63BE7B"/>
        <color rgb="FFF8696B"/>
      </colorScale>
    </cfRule>
  </conditionalFormatting>
  <conditionalFormatting sqref="D9:K9">
    <cfRule type="colorScale" priority="7">
      <colorScale>
        <cfvo type="min" val="0"/>
        <cfvo type="max" val="0"/>
        <color rgb="FF63BE7B"/>
        <color rgb="FFF8696B"/>
      </colorScale>
    </cfRule>
  </conditionalFormatting>
  <conditionalFormatting sqref="D10:K10">
    <cfRule type="colorScale" priority="8">
      <colorScale>
        <cfvo type="min" val="0"/>
        <cfvo type="max" val="0"/>
        <color rgb="FF63BE7B"/>
        <color rgb="FFF8696B"/>
      </colorScale>
    </cfRule>
  </conditionalFormatting>
  <conditionalFormatting sqref="D11:K11">
    <cfRule type="colorScale" priority="9">
      <colorScale>
        <cfvo type="min" val="0"/>
        <cfvo type="max" val="0"/>
        <color rgb="FF63BE7B"/>
        <color rgb="FFF8696B"/>
      </colorScale>
    </cfRule>
  </conditionalFormatting>
  <conditionalFormatting sqref="D12:K12">
    <cfRule type="colorScale" priority="10">
      <colorScale>
        <cfvo type="min" val="0"/>
        <cfvo type="max" val="0"/>
        <color rgb="FF63BE7B"/>
        <color rgb="FFF8696B"/>
      </colorScale>
    </cfRule>
  </conditionalFormatting>
  <conditionalFormatting sqref="D14:K14">
    <cfRule type="colorScale" priority="11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6"/>
  </cols>
  <sheetData>
    <row r="1" customFormat="false" ht="16.15" hidden="false" customHeight="false" outlineLevel="0" collapsed="false">
      <c r="A1" s="1" t="s">
        <v>70</v>
      </c>
    </row>
    <row r="3" customFormat="false" ht="15" hidden="false" customHeight="false" outlineLevel="0" collapsed="false">
      <c r="A3" s="3" t="s">
        <v>71</v>
      </c>
    </row>
    <row r="4" customFormat="false" ht="15" hidden="false" customHeight="false" outlineLevel="0" collapsed="false">
      <c r="A4" s="0" t="s">
        <v>72</v>
      </c>
      <c r="B4" s="44" t="n">
        <f aca="false">NB_FAIBLE*TXPA_TOT+BDETX_TOT+EPITX_TOT</f>
        <v>1358</v>
      </c>
      <c r="D4" s="45" t="s">
        <v>73</v>
      </c>
      <c r="E4" s="46" t="n">
        <f aca="false">NB_FAIBLE*TXPA_TOT*MT_FAIBLE+BDEVOL_TOT+EPIVOL_TOT</f>
        <v>20355</v>
      </c>
    </row>
    <row r="5" customFormat="false" ht="23.85" hidden="false" customHeight="false" outlineLevel="0" collapsed="false">
      <c r="A5" s="4" t="s">
        <v>23</v>
      </c>
      <c r="B5" s="4" t="s">
        <v>74</v>
      </c>
      <c r="C5" s="4" t="s">
        <v>75</v>
      </c>
      <c r="D5" s="4" t="s">
        <v>76</v>
      </c>
      <c r="E5" s="4" t="s">
        <v>77</v>
      </c>
      <c r="F5" s="4" t="s">
        <v>78</v>
      </c>
      <c r="G5" s="4" t="s">
        <v>79</v>
      </c>
    </row>
    <row r="6" customFormat="false" ht="15" hidden="false" customHeight="false" outlineLevel="0" collapsed="false">
      <c r="A6" s="5" t="s">
        <v>28</v>
      </c>
      <c r="B6" s="24" t="n">
        <f aca="false">$E$4*STRIPE_PCT+$B$4*STRIPE_FIX</f>
        <v>644.825</v>
      </c>
      <c r="C6" s="24" t="n">
        <f aca="false">STRIPE_ABO*NB_MOIS</f>
        <v>0</v>
      </c>
      <c r="D6" s="24" t="n">
        <f aca="false">STRIPE_ENT</f>
        <v>0</v>
      </c>
      <c r="E6" s="24" t="n">
        <f aca="false">SUM(B6:D6)</f>
        <v>644.825</v>
      </c>
      <c r="F6" s="24" t="n">
        <f aca="false">E6*(1+TVA)</f>
        <v>773.79</v>
      </c>
      <c r="G6" s="21" t="n">
        <f aca="false">RANK(E6,$E$6:$E$13,1)</f>
        <v>5</v>
      </c>
    </row>
    <row r="7" customFormat="false" ht="15" hidden="false" customHeight="false" outlineLevel="0" collapsed="false">
      <c r="A7" s="8" t="s">
        <v>29</v>
      </c>
      <c r="B7" s="29" t="n">
        <f aca="false">$E$4*PAYPLUG_PCT+$B$4*PAYPLUG_FIX</f>
        <v>563.405</v>
      </c>
      <c r="C7" s="29" t="n">
        <f aca="false">PAYPLUG_ABO*NB_MOIS</f>
        <v>270</v>
      </c>
      <c r="D7" s="29" t="n">
        <f aca="false">PAYPLUG_ENT</f>
        <v>0</v>
      </c>
      <c r="E7" s="29" t="n">
        <f aca="false">SUM(B7:D7)</f>
        <v>833.405</v>
      </c>
      <c r="F7" s="29" t="n">
        <f aca="false">E7*(1+TVA)</f>
        <v>1000.086</v>
      </c>
      <c r="G7" s="26" t="n">
        <f aca="false">RANK(E7,$E$6:$E$13,1)</f>
        <v>7</v>
      </c>
    </row>
    <row r="8" customFormat="false" ht="15" hidden="false" customHeight="false" outlineLevel="0" collapsed="false">
      <c r="A8" s="5" t="s">
        <v>30</v>
      </c>
      <c r="B8" s="24" t="n">
        <f aca="false">$E$4*LYRA_PCT+$B$4*LYRA_FIX</f>
        <v>556.57</v>
      </c>
      <c r="C8" s="24" t="n">
        <f aca="false">LYRA_ABO*NB_MOIS</f>
        <v>360</v>
      </c>
      <c r="D8" s="24" t="n">
        <f aca="false">LYRA_ENT</f>
        <v>99</v>
      </c>
      <c r="E8" s="24" t="n">
        <f aca="false">SUM(B8:D8)</f>
        <v>1015.57</v>
      </c>
      <c r="F8" s="24" t="n">
        <f aca="false">E8*(1+TVA)</f>
        <v>1218.684</v>
      </c>
      <c r="G8" s="21" t="n">
        <f aca="false">RANK(E8,$E$6:$E$13,1)</f>
        <v>8</v>
      </c>
    </row>
    <row r="9" customFormat="false" ht="15" hidden="false" customHeight="false" outlineLevel="0" collapsed="false">
      <c r="A9" s="8" t="s">
        <v>31</v>
      </c>
      <c r="B9" s="29" t="n">
        <f aca="false">$E$4*MON1_PCT+$B$4*MON1_FIX</f>
        <v>101.775</v>
      </c>
      <c r="C9" s="29" t="n">
        <f aca="false">MON1_ABO*NB_MOIS</f>
        <v>0</v>
      </c>
      <c r="D9" s="29" t="n">
        <f aca="false">MON1_ENT</f>
        <v>0</v>
      </c>
      <c r="E9" s="29" t="n">
        <f aca="false">SUM(B9:D9)</f>
        <v>101.775</v>
      </c>
      <c r="F9" s="29" t="n">
        <f aca="false">E9*(1+TVA)</f>
        <v>122.13</v>
      </c>
      <c r="G9" s="26" t="n">
        <f aca="false">RANK(E9,$E$6:$E$13,1)</f>
        <v>2</v>
      </c>
    </row>
    <row r="10" customFormat="false" ht="15" hidden="false" customHeight="false" outlineLevel="0" collapsed="false">
      <c r="A10" s="5" t="s">
        <v>32</v>
      </c>
      <c r="B10" s="24" t="n">
        <f aca="false">$E$4*MON2_PCT+$B$4*MON2_FIX</f>
        <v>101.775</v>
      </c>
      <c r="C10" s="24" t="n">
        <f aca="false">MON2_ABO*NB_MOIS</f>
        <v>180</v>
      </c>
      <c r="D10" s="24" t="n">
        <f aca="false">MON2_ENT</f>
        <v>0</v>
      </c>
      <c r="E10" s="24" t="n">
        <f aca="false">SUM(B10:D10)</f>
        <v>281.775</v>
      </c>
      <c r="F10" s="24" t="n">
        <f aca="false">E10*(1+TVA)</f>
        <v>338.13</v>
      </c>
      <c r="G10" s="21" t="n">
        <f aca="false">RANK(E10,$E$6:$E$13,1)</f>
        <v>3</v>
      </c>
    </row>
    <row r="11" customFormat="false" ht="15" hidden="false" customHeight="false" outlineLevel="0" collapsed="false">
      <c r="A11" s="8" t="s">
        <v>33</v>
      </c>
      <c r="B11" s="29" t="n">
        <f aca="false">$E$4*SOGEL_PCT+$B$4*SOGEL_FIX</f>
        <v>101.775</v>
      </c>
      <c r="C11" s="29" t="n">
        <f aca="false">SOGEL_ABO*NB_MOIS</f>
        <v>144</v>
      </c>
      <c r="D11" s="29" t="n">
        <f aca="false">SOGEL_ENT</f>
        <v>100</v>
      </c>
      <c r="E11" s="29" t="n">
        <f aca="false">SUM(B11:D11)</f>
        <v>345.775</v>
      </c>
      <c r="F11" s="29" t="n">
        <f aca="false">E11*(1+TVA)</f>
        <v>414.93</v>
      </c>
      <c r="G11" s="26" t="n">
        <f aca="false">RANK(E11,$E$6:$E$13,1)</f>
        <v>4</v>
      </c>
    </row>
    <row r="12" customFormat="false" ht="15" hidden="false" customHeight="false" outlineLevel="0" collapsed="false">
      <c r="A12" s="5" t="s">
        <v>34</v>
      </c>
      <c r="B12" s="24" t="n">
        <f aca="false">$E$4*SOGEC_PCT+$B$4*SOGEC_FIX</f>
        <v>101.775</v>
      </c>
      <c r="C12" s="24" t="n">
        <f aca="false">SOGEC_ABO*NB_MOIS</f>
        <v>297</v>
      </c>
      <c r="D12" s="24" t="n">
        <f aca="false">SOGEC_ENT</f>
        <v>300</v>
      </c>
      <c r="E12" s="24" t="n">
        <f aca="false">SUM(B12:D12)</f>
        <v>698.775</v>
      </c>
      <c r="F12" s="24" t="n">
        <f aca="false">E12*(1+TVA)</f>
        <v>838.53</v>
      </c>
      <c r="G12" s="21" t="n">
        <f aca="false">RANK(E12,$E$6:$E$13,1)</f>
        <v>6</v>
      </c>
    </row>
    <row r="13" customFormat="false" ht="15" hidden="false" customHeight="false" outlineLevel="0" collapsed="false">
      <c r="A13" s="8" t="s">
        <v>35</v>
      </c>
      <c r="B13" s="29" t="n">
        <f aca="false">$E$4*HELLO_PCT+$B$4*HELLO_FIX</f>
        <v>0</v>
      </c>
      <c r="C13" s="29" t="n">
        <f aca="false">HELLO_ABO*NB_MOIS</f>
        <v>0</v>
      </c>
      <c r="D13" s="29" t="n">
        <f aca="false">HELLO_ENT</f>
        <v>0</v>
      </c>
      <c r="E13" s="29" t="n">
        <f aca="false">SUM(B13:D13)</f>
        <v>0</v>
      </c>
      <c r="F13" s="29" t="n">
        <f aca="false">E13*(1+TVA)</f>
        <v>0</v>
      </c>
      <c r="G13" s="26" t="n">
        <f aca="false">RANK(E13,$E$6:$E$13,1)</f>
        <v>1</v>
      </c>
    </row>
    <row r="15" customFormat="false" ht="15" hidden="false" customHeight="false" outlineLevel="0" collapsed="false">
      <c r="A15" s="3" t="s">
        <v>80</v>
      </c>
    </row>
    <row r="16" customFormat="false" ht="15" hidden="false" customHeight="false" outlineLevel="0" collapsed="false">
      <c r="A16" s="0" t="s">
        <v>72</v>
      </c>
      <c r="B16" s="44" t="n">
        <f aca="false">NB_MOY*TXPA_TOT+BDETX_TOT+EPITX_TOT</f>
        <v>3008</v>
      </c>
      <c r="D16" s="45" t="s">
        <v>73</v>
      </c>
      <c r="E16" s="46" t="n">
        <f aca="false">NB_MOY*TXPA_TOT*MT_MOY+BDEVOL_TOT+EPIVOL_TOT</f>
        <v>58855</v>
      </c>
    </row>
    <row r="17" customFormat="false" ht="23.85" hidden="false" customHeight="false" outlineLevel="0" collapsed="false">
      <c r="A17" s="4" t="s">
        <v>23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78</v>
      </c>
      <c r="G17" s="4" t="s">
        <v>79</v>
      </c>
    </row>
    <row r="18" customFormat="false" ht="15" hidden="false" customHeight="false" outlineLevel="0" collapsed="false">
      <c r="A18" s="5" t="s">
        <v>28</v>
      </c>
      <c r="B18" s="24" t="n">
        <f aca="false">$E$16*STRIPE_PCT+$B$16*STRIPE_FIX</f>
        <v>1634.825</v>
      </c>
      <c r="C18" s="24" t="n">
        <f aca="false">STRIPE_ABO*NB_MOIS</f>
        <v>0</v>
      </c>
      <c r="D18" s="24" t="n">
        <f aca="false">STRIPE_ENT</f>
        <v>0</v>
      </c>
      <c r="E18" s="24" t="n">
        <f aca="false">SUM(B18:D18)</f>
        <v>1634.825</v>
      </c>
      <c r="F18" s="24" t="n">
        <f aca="false">E18*(1+TVA)</f>
        <v>1961.79</v>
      </c>
      <c r="G18" s="21" t="n">
        <f aca="false">RANK(E18,$E$18:$E$25,1)</f>
        <v>6</v>
      </c>
    </row>
    <row r="19" customFormat="false" ht="15" hidden="false" customHeight="false" outlineLevel="0" collapsed="false">
      <c r="A19" s="8" t="s">
        <v>29</v>
      </c>
      <c r="B19" s="29" t="n">
        <f aca="false">$E$16*PAYPLUG_PCT+$B$16*PAYPLUG_FIX</f>
        <v>1399.405</v>
      </c>
      <c r="C19" s="29" t="n">
        <f aca="false">PAYPLUG_ABO*NB_MOIS</f>
        <v>270</v>
      </c>
      <c r="D19" s="29" t="n">
        <f aca="false">PAYPLUG_ENT</f>
        <v>0</v>
      </c>
      <c r="E19" s="29" t="n">
        <f aca="false">SUM(B19:D19)</f>
        <v>1669.405</v>
      </c>
      <c r="F19" s="29" t="n">
        <f aca="false">E19*(1+TVA)</f>
        <v>2003.286</v>
      </c>
      <c r="G19" s="26" t="n">
        <f aca="false">RANK(E19,$E$18:$E$25,1)</f>
        <v>7</v>
      </c>
    </row>
    <row r="20" customFormat="false" ht="15" hidden="false" customHeight="false" outlineLevel="0" collapsed="false">
      <c r="A20" s="5" t="s">
        <v>30</v>
      </c>
      <c r="B20" s="24" t="n">
        <f aca="false">$E$16*LYRA_PCT+$B$16*LYRA_FIX</f>
        <v>1425.57</v>
      </c>
      <c r="C20" s="24" t="n">
        <f aca="false">LYRA_ABO*NB_MOIS</f>
        <v>360</v>
      </c>
      <c r="D20" s="24" t="n">
        <f aca="false">LYRA_ENT</f>
        <v>99</v>
      </c>
      <c r="E20" s="24" t="n">
        <f aca="false">SUM(B20:D20)</f>
        <v>1884.57</v>
      </c>
      <c r="F20" s="24" t="n">
        <f aca="false">E20*(1+TVA)</f>
        <v>2261.484</v>
      </c>
      <c r="G20" s="21" t="n">
        <f aca="false">RANK(E20,$E$18:$E$25,1)</f>
        <v>8</v>
      </c>
    </row>
    <row r="21" customFormat="false" ht="15" hidden="false" customHeight="false" outlineLevel="0" collapsed="false">
      <c r="A21" s="8" t="s">
        <v>31</v>
      </c>
      <c r="B21" s="29" t="n">
        <f aca="false">$E$16*MON1_PCT+$B$16*MON1_FIX</f>
        <v>294.275</v>
      </c>
      <c r="C21" s="29" t="n">
        <f aca="false">MON1_ABO*NB_MOIS</f>
        <v>0</v>
      </c>
      <c r="D21" s="29" t="n">
        <f aca="false">MON1_ENT</f>
        <v>0</v>
      </c>
      <c r="E21" s="29" t="n">
        <f aca="false">SUM(B21:D21)</f>
        <v>294.275</v>
      </c>
      <c r="F21" s="29" t="n">
        <f aca="false">E21*(1+TVA)</f>
        <v>353.13</v>
      </c>
      <c r="G21" s="26" t="n">
        <f aca="false">RANK(E21,$E$18:$E$25,1)</f>
        <v>2</v>
      </c>
    </row>
    <row r="22" customFormat="false" ht="15" hidden="false" customHeight="false" outlineLevel="0" collapsed="false">
      <c r="A22" s="5" t="s">
        <v>32</v>
      </c>
      <c r="B22" s="24" t="n">
        <f aca="false">$E$16*MON2_PCT+$B$16*MON2_FIX</f>
        <v>294.275</v>
      </c>
      <c r="C22" s="24" t="n">
        <f aca="false">MON2_ABO*NB_MOIS</f>
        <v>180</v>
      </c>
      <c r="D22" s="24" t="n">
        <f aca="false">MON2_ENT</f>
        <v>0</v>
      </c>
      <c r="E22" s="24" t="n">
        <f aca="false">SUM(B22:D22)</f>
        <v>474.275</v>
      </c>
      <c r="F22" s="24" t="n">
        <f aca="false">E22*(1+TVA)</f>
        <v>569.13</v>
      </c>
      <c r="G22" s="21" t="n">
        <f aca="false">RANK(E22,$E$18:$E$25,1)</f>
        <v>3</v>
      </c>
    </row>
    <row r="23" customFormat="false" ht="15" hidden="false" customHeight="false" outlineLevel="0" collapsed="false">
      <c r="A23" s="8" t="s">
        <v>33</v>
      </c>
      <c r="B23" s="29" t="n">
        <f aca="false">$E$16*SOGEL_PCT+$B$16*SOGEL_FIX</f>
        <v>294.275</v>
      </c>
      <c r="C23" s="29" t="n">
        <f aca="false">SOGEL_ABO*NB_MOIS</f>
        <v>144</v>
      </c>
      <c r="D23" s="29" t="n">
        <f aca="false">SOGEL_ENT</f>
        <v>100</v>
      </c>
      <c r="E23" s="29" t="n">
        <f aca="false">SUM(B23:D23)</f>
        <v>538.275</v>
      </c>
      <c r="F23" s="29" t="n">
        <f aca="false">E23*(1+TVA)</f>
        <v>645.93</v>
      </c>
      <c r="G23" s="26" t="n">
        <f aca="false">RANK(E23,$E$18:$E$25,1)</f>
        <v>4</v>
      </c>
    </row>
    <row r="24" customFormat="false" ht="15" hidden="false" customHeight="false" outlineLevel="0" collapsed="false">
      <c r="A24" s="5" t="s">
        <v>34</v>
      </c>
      <c r="B24" s="24" t="n">
        <f aca="false">$E$16*SOGEC_PCT+$B$16*SOGEC_FIX</f>
        <v>294.275</v>
      </c>
      <c r="C24" s="24" t="n">
        <f aca="false">SOGEC_ABO*NB_MOIS</f>
        <v>297</v>
      </c>
      <c r="D24" s="24" t="n">
        <f aca="false">SOGEC_ENT</f>
        <v>300</v>
      </c>
      <c r="E24" s="24" t="n">
        <f aca="false">SUM(B24:D24)</f>
        <v>891.275</v>
      </c>
      <c r="F24" s="24" t="n">
        <f aca="false">E24*(1+TVA)</f>
        <v>1069.53</v>
      </c>
      <c r="G24" s="21" t="n">
        <f aca="false">RANK(E24,$E$18:$E$25,1)</f>
        <v>5</v>
      </c>
    </row>
    <row r="25" customFormat="false" ht="15" hidden="false" customHeight="false" outlineLevel="0" collapsed="false">
      <c r="A25" s="8" t="s">
        <v>35</v>
      </c>
      <c r="B25" s="29" t="n">
        <f aca="false">$E$16*HELLO_PCT+$B$16*HELLO_FIX</f>
        <v>0</v>
      </c>
      <c r="C25" s="29" t="n">
        <f aca="false">HELLO_ABO*NB_MOIS</f>
        <v>0</v>
      </c>
      <c r="D25" s="29" t="n">
        <f aca="false">HELLO_ENT</f>
        <v>0</v>
      </c>
      <c r="E25" s="29" t="n">
        <f aca="false">SUM(B25:D25)</f>
        <v>0</v>
      </c>
      <c r="F25" s="29" t="n">
        <f aca="false">E25*(1+TVA)</f>
        <v>0</v>
      </c>
      <c r="G25" s="26" t="n">
        <f aca="false">RANK(E25,$E$18:$E$25,1)</f>
        <v>1</v>
      </c>
    </row>
    <row r="27" customFormat="false" ht="15" hidden="false" customHeight="false" outlineLevel="0" collapsed="false">
      <c r="A27" s="3" t="s">
        <v>81</v>
      </c>
    </row>
    <row r="28" customFormat="false" ht="15" hidden="false" customHeight="false" outlineLevel="0" collapsed="false">
      <c r="A28" s="0" t="s">
        <v>72</v>
      </c>
      <c r="B28" s="44" t="n">
        <f aca="false">NB_FORT*TXPA_TOT+BDETX_TOT+EPITX_TOT</f>
        <v>4658</v>
      </c>
      <c r="D28" s="45" t="s">
        <v>73</v>
      </c>
      <c r="E28" s="46" t="n">
        <f aca="false">NB_FORT*TXPA_TOT*MT_FORT+BDEVOL_TOT+EPIVOL_TOT</f>
        <v>113855</v>
      </c>
    </row>
    <row r="29" customFormat="false" ht="23.85" hidden="false" customHeight="false" outlineLevel="0" collapsed="false">
      <c r="A29" s="4" t="s">
        <v>23</v>
      </c>
      <c r="B29" s="4" t="s">
        <v>74</v>
      </c>
      <c r="C29" s="4" t="s">
        <v>75</v>
      </c>
      <c r="D29" s="4" t="s">
        <v>76</v>
      </c>
      <c r="E29" s="4" t="s">
        <v>77</v>
      </c>
      <c r="F29" s="4" t="s">
        <v>78</v>
      </c>
      <c r="G29" s="4" t="s">
        <v>79</v>
      </c>
    </row>
    <row r="30" customFormat="false" ht="15" hidden="false" customHeight="false" outlineLevel="0" collapsed="false">
      <c r="A30" s="5" t="s">
        <v>28</v>
      </c>
      <c r="B30" s="24" t="n">
        <f aca="false">$E$28*STRIPE_PCT+$B$28*STRIPE_FIX</f>
        <v>2872.325</v>
      </c>
      <c r="C30" s="24" t="n">
        <f aca="false">STRIPE_ABO*NB_MOIS</f>
        <v>0</v>
      </c>
      <c r="D30" s="24" t="n">
        <f aca="false">STRIPE_ENT</f>
        <v>0</v>
      </c>
      <c r="E30" s="24" t="n">
        <f aca="false">SUM(B30:D30)</f>
        <v>2872.325</v>
      </c>
      <c r="F30" s="24" t="n">
        <f aca="false">E30*(1+TVA)</f>
        <v>3446.79</v>
      </c>
      <c r="G30" s="21" t="n">
        <f aca="false">RANK(E30,$E$30:$E$37,1)</f>
        <v>7</v>
      </c>
    </row>
    <row r="31" customFormat="false" ht="15" hidden="false" customHeight="false" outlineLevel="0" collapsed="false">
      <c r="A31" s="8" t="s">
        <v>29</v>
      </c>
      <c r="B31" s="29" t="n">
        <f aca="false">$E$28*PAYPLUG_PCT+$B$28*PAYPLUG_FIX</f>
        <v>2416.905</v>
      </c>
      <c r="C31" s="29" t="n">
        <f aca="false">PAYPLUG_ABO*NB_MOIS</f>
        <v>270</v>
      </c>
      <c r="D31" s="29" t="n">
        <f aca="false">PAYPLUG_ENT</f>
        <v>0</v>
      </c>
      <c r="E31" s="29" t="n">
        <f aca="false">SUM(B31:D31)</f>
        <v>2686.905</v>
      </c>
      <c r="F31" s="29" t="n">
        <f aca="false">E31*(1+TVA)</f>
        <v>3224.286</v>
      </c>
      <c r="G31" s="26" t="n">
        <f aca="false">RANK(E31,$E$30:$E$37,1)</f>
        <v>6</v>
      </c>
    </row>
    <row r="32" customFormat="false" ht="15" hidden="false" customHeight="false" outlineLevel="0" collapsed="false">
      <c r="A32" s="5" t="s">
        <v>30</v>
      </c>
      <c r="B32" s="24" t="n">
        <f aca="false">$E$28*LYRA_PCT+$B$28*LYRA_FIX</f>
        <v>2525.57</v>
      </c>
      <c r="C32" s="24" t="n">
        <f aca="false">LYRA_ABO*NB_MOIS</f>
        <v>360</v>
      </c>
      <c r="D32" s="24" t="n">
        <f aca="false">LYRA_ENT</f>
        <v>99</v>
      </c>
      <c r="E32" s="24" t="n">
        <f aca="false">SUM(B32:D32)</f>
        <v>2984.57</v>
      </c>
      <c r="F32" s="24" t="n">
        <f aca="false">E32*(1+TVA)</f>
        <v>3581.484</v>
      </c>
      <c r="G32" s="21" t="n">
        <f aca="false">RANK(E32,$E$30:$E$37,1)</f>
        <v>8</v>
      </c>
    </row>
    <row r="33" customFormat="false" ht="15" hidden="false" customHeight="false" outlineLevel="0" collapsed="false">
      <c r="A33" s="8" t="s">
        <v>31</v>
      </c>
      <c r="B33" s="29" t="n">
        <f aca="false">$E$28*MON1_PCT+$B$28*MON1_FIX</f>
        <v>569.275</v>
      </c>
      <c r="C33" s="29" t="n">
        <f aca="false">MON1_ABO*NB_MOIS</f>
        <v>0</v>
      </c>
      <c r="D33" s="29" t="n">
        <f aca="false">MON1_ENT</f>
        <v>0</v>
      </c>
      <c r="E33" s="29" t="n">
        <f aca="false">SUM(B33:D33)</f>
        <v>569.275</v>
      </c>
      <c r="F33" s="29" t="n">
        <f aca="false">E33*(1+TVA)</f>
        <v>683.13</v>
      </c>
      <c r="G33" s="26" t="n">
        <f aca="false">RANK(E33,$E$30:$E$37,1)</f>
        <v>2</v>
      </c>
    </row>
    <row r="34" customFormat="false" ht="15" hidden="false" customHeight="false" outlineLevel="0" collapsed="false">
      <c r="A34" s="5" t="s">
        <v>32</v>
      </c>
      <c r="B34" s="24" t="n">
        <f aca="false">$E$28*MON2_PCT+$B$28*MON2_FIX</f>
        <v>569.275</v>
      </c>
      <c r="C34" s="24" t="n">
        <f aca="false">MON2_ABO*NB_MOIS</f>
        <v>180</v>
      </c>
      <c r="D34" s="24" t="n">
        <f aca="false">MON2_ENT</f>
        <v>0</v>
      </c>
      <c r="E34" s="24" t="n">
        <f aca="false">SUM(B34:D34)</f>
        <v>749.275</v>
      </c>
      <c r="F34" s="24" t="n">
        <f aca="false">E34*(1+TVA)</f>
        <v>899.13</v>
      </c>
      <c r="G34" s="21" t="n">
        <f aca="false">RANK(E34,$E$30:$E$37,1)</f>
        <v>3</v>
      </c>
    </row>
    <row r="35" customFormat="false" ht="15" hidden="false" customHeight="false" outlineLevel="0" collapsed="false">
      <c r="A35" s="8" t="s">
        <v>33</v>
      </c>
      <c r="B35" s="29" t="n">
        <f aca="false">$E$28*SOGEL_PCT+$B$28*SOGEL_FIX</f>
        <v>569.275</v>
      </c>
      <c r="C35" s="29" t="n">
        <f aca="false">SOGEL_ABO*NB_MOIS</f>
        <v>144</v>
      </c>
      <c r="D35" s="29" t="n">
        <f aca="false">SOGEL_ENT</f>
        <v>100</v>
      </c>
      <c r="E35" s="29" t="n">
        <f aca="false">SUM(B35:D35)</f>
        <v>813.275</v>
      </c>
      <c r="F35" s="29" t="n">
        <f aca="false">E35*(1+TVA)</f>
        <v>975.93</v>
      </c>
      <c r="G35" s="26" t="n">
        <f aca="false">RANK(E35,$E$30:$E$37,1)</f>
        <v>4</v>
      </c>
    </row>
    <row r="36" customFormat="false" ht="15" hidden="false" customHeight="false" outlineLevel="0" collapsed="false">
      <c r="A36" s="5" t="s">
        <v>34</v>
      </c>
      <c r="B36" s="24" t="n">
        <f aca="false">$E$28*SOGEC_PCT+$B$28*SOGEC_FIX</f>
        <v>569.275</v>
      </c>
      <c r="C36" s="24" t="n">
        <f aca="false">SOGEC_ABO*NB_MOIS</f>
        <v>297</v>
      </c>
      <c r="D36" s="24" t="n">
        <f aca="false">SOGEC_ENT</f>
        <v>300</v>
      </c>
      <c r="E36" s="24" t="n">
        <f aca="false">SUM(B36:D36)</f>
        <v>1166.275</v>
      </c>
      <c r="F36" s="24" t="n">
        <f aca="false">E36*(1+TVA)</f>
        <v>1399.53</v>
      </c>
      <c r="G36" s="21" t="n">
        <f aca="false">RANK(E36,$E$30:$E$37,1)</f>
        <v>5</v>
      </c>
    </row>
    <row r="37" customFormat="false" ht="15" hidden="false" customHeight="false" outlineLevel="0" collapsed="false">
      <c r="A37" s="8" t="s">
        <v>35</v>
      </c>
      <c r="B37" s="29" t="n">
        <f aca="false">$E$28*HELLO_PCT+$B$28*HELLO_FIX</f>
        <v>0</v>
      </c>
      <c r="C37" s="29" t="n">
        <f aca="false">HELLO_ABO*NB_MOIS</f>
        <v>0</v>
      </c>
      <c r="D37" s="29" t="n">
        <f aca="false">HELLO_ENT</f>
        <v>0</v>
      </c>
      <c r="E37" s="29" t="n">
        <f aca="false">SUM(B37:D37)</f>
        <v>0</v>
      </c>
      <c r="F37" s="29" t="n">
        <f aca="false">E37*(1+TVA)</f>
        <v>0</v>
      </c>
      <c r="G37" s="26" t="n">
        <f aca="false">RANK(E37,$E$30:$E$37,1)</f>
        <v>1</v>
      </c>
    </row>
    <row r="40" customFormat="false" ht="15" hidden="false" customHeight="false" outlineLevel="0" collapsed="false">
      <c r="A40" s="3" t="s">
        <v>82</v>
      </c>
    </row>
    <row r="41" customFormat="false" ht="23.85" hidden="false" customHeight="false" outlineLevel="0" collapsed="false">
      <c r="A41" s="4" t="s">
        <v>3</v>
      </c>
      <c r="B41" s="4" t="s">
        <v>28</v>
      </c>
      <c r="C41" s="4" t="s">
        <v>29</v>
      </c>
      <c r="D41" s="4" t="s">
        <v>30</v>
      </c>
      <c r="E41" s="4" t="s">
        <v>31</v>
      </c>
      <c r="F41" s="4" t="s">
        <v>32</v>
      </c>
      <c r="G41" s="4" t="s">
        <v>33</v>
      </c>
      <c r="H41" s="4" t="s">
        <v>34</v>
      </c>
      <c r="I41" s="4" t="s">
        <v>35</v>
      </c>
    </row>
    <row r="42" customFormat="false" ht="15" hidden="false" customHeight="false" outlineLevel="0" collapsed="false">
      <c r="A42" s="5" t="s">
        <v>6</v>
      </c>
      <c r="B42" s="24" t="n">
        <f aca="false">F6</f>
        <v>773.79</v>
      </c>
      <c r="C42" s="24" t="n">
        <f aca="false">F7</f>
        <v>1000.086</v>
      </c>
      <c r="D42" s="24" t="n">
        <f aca="false">F8</f>
        <v>1218.684</v>
      </c>
      <c r="E42" s="24" t="n">
        <f aca="false">F9</f>
        <v>122.13</v>
      </c>
      <c r="F42" s="24" t="n">
        <f aca="false">F10</f>
        <v>338.13</v>
      </c>
      <c r="G42" s="24" t="n">
        <f aca="false">F11</f>
        <v>414.93</v>
      </c>
      <c r="H42" s="24" t="n">
        <f aca="false">F12</f>
        <v>838.53</v>
      </c>
      <c r="I42" s="24" t="n">
        <f aca="false">F13</f>
        <v>0</v>
      </c>
    </row>
    <row r="43" customFormat="false" ht="15" hidden="false" customHeight="false" outlineLevel="0" collapsed="false">
      <c r="A43" s="8" t="s">
        <v>7</v>
      </c>
      <c r="B43" s="29" t="n">
        <f aca="false">F18</f>
        <v>1961.79</v>
      </c>
      <c r="C43" s="29" t="n">
        <f aca="false">F19</f>
        <v>2003.286</v>
      </c>
      <c r="D43" s="29" t="n">
        <f aca="false">F20</f>
        <v>2261.484</v>
      </c>
      <c r="E43" s="29" t="n">
        <f aca="false">F21</f>
        <v>353.13</v>
      </c>
      <c r="F43" s="29" t="n">
        <f aca="false">F22</f>
        <v>569.13</v>
      </c>
      <c r="G43" s="29" t="n">
        <f aca="false">F23</f>
        <v>645.93</v>
      </c>
      <c r="H43" s="29" t="n">
        <f aca="false">F24</f>
        <v>1069.53</v>
      </c>
      <c r="I43" s="29" t="n">
        <f aca="false">F25</f>
        <v>0</v>
      </c>
    </row>
    <row r="44" customFormat="false" ht="15" hidden="false" customHeight="false" outlineLevel="0" collapsed="false">
      <c r="A44" s="5" t="s">
        <v>8</v>
      </c>
      <c r="B44" s="24" t="n">
        <f aca="false">F30</f>
        <v>3446.79</v>
      </c>
      <c r="C44" s="24" t="n">
        <f aca="false">F31</f>
        <v>3224.286</v>
      </c>
      <c r="D44" s="24" t="n">
        <f aca="false">F32</f>
        <v>3581.484</v>
      </c>
      <c r="E44" s="24" t="n">
        <f aca="false">F33</f>
        <v>683.13</v>
      </c>
      <c r="F44" s="24" t="n">
        <f aca="false">F34</f>
        <v>899.13</v>
      </c>
      <c r="G44" s="24" t="n">
        <f aca="false">F35</f>
        <v>975.93</v>
      </c>
      <c r="H44" s="24" t="n">
        <f aca="false">F36</f>
        <v>1399.53</v>
      </c>
      <c r="I44" s="24" t="n">
        <f aca="false">F37</f>
        <v>0</v>
      </c>
    </row>
  </sheetData>
  <sheetProtection sheet="true" formatCells="false" formatColumns="false" formatRows="false"/>
  <conditionalFormatting sqref="E6:E13">
    <cfRule type="colorScale" priority="2">
      <colorScale>
        <cfvo type="min" val="0"/>
        <cfvo type="max" val="0"/>
        <color rgb="FF63BE7B"/>
        <color rgb="FFF8696B"/>
      </colorScale>
    </cfRule>
  </conditionalFormatting>
  <conditionalFormatting sqref="E18:E25">
    <cfRule type="colorScale" priority="3">
      <colorScale>
        <cfvo type="min" val="0"/>
        <cfvo type="max" val="0"/>
        <color rgb="FF63BE7B"/>
        <color rgb="FFF8696B"/>
      </colorScale>
    </cfRule>
  </conditionalFormatting>
  <conditionalFormatting sqref="E30:E37">
    <cfRule type="colorScale" priority="4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83</v>
      </c>
    </row>
  </sheetData>
  <sheetProtection sheet="true" formatCells="fals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56"/>
  </cols>
  <sheetData>
    <row r="1" customFormat="false" ht="16.15" hidden="false" customHeight="false" outlineLevel="0" collapsed="false">
      <c r="A1" s="1" t="s">
        <v>84</v>
      </c>
    </row>
    <row r="3" customFormat="false" ht="15" hidden="false" customHeight="false" outlineLevel="0" collapsed="false">
      <c r="A3" s="4" t="s">
        <v>23</v>
      </c>
      <c r="B3" s="4" t="s">
        <v>85</v>
      </c>
      <c r="C3" s="4" t="s">
        <v>79</v>
      </c>
      <c r="D3" s="4" t="s">
        <v>86</v>
      </c>
      <c r="E3" s="4" t="s">
        <v>87</v>
      </c>
    </row>
    <row r="4" customFormat="false" ht="15" hidden="false" customHeight="false" outlineLevel="0" collapsed="false">
      <c r="A4" s="5" t="s">
        <v>28</v>
      </c>
      <c r="B4" s="37" t="n">
        <f aca="false">'Total pilote (3 scénarios)'!F18</f>
        <v>1961.79</v>
      </c>
      <c r="C4" s="21" t="n">
        <f aca="false">RANK(B4,$B$4:$B$11,1)</f>
        <v>6</v>
      </c>
      <c r="D4" s="31" t="str">
        <f aca="false">IF(C4=1,"Recommandé",IF(C4&lt;=3,"À étudier","Plus coûteux"))</f>
        <v>Plus coûteux</v>
      </c>
      <c r="E4" s="47" t="s">
        <v>88</v>
      </c>
    </row>
    <row r="5" customFormat="false" ht="15" hidden="false" customHeight="false" outlineLevel="0" collapsed="false">
      <c r="A5" s="8" t="s">
        <v>29</v>
      </c>
      <c r="B5" s="41" t="n">
        <f aca="false">'Total pilote (3 scénarios)'!F19</f>
        <v>2003.286</v>
      </c>
      <c r="C5" s="26" t="n">
        <f aca="false">RANK(B5,$B$4:$B$11,1)</f>
        <v>7</v>
      </c>
      <c r="D5" s="48" t="str">
        <f aca="false">IF(C5=1,"Recommandé",IF(C5&lt;=3,"À étudier","Plus coûteux"))</f>
        <v>Plus coûteux</v>
      </c>
      <c r="E5" s="49" t="s">
        <v>89</v>
      </c>
    </row>
    <row r="6" customFormat="false" ht="23.85" hidden="false" customHeight="false" outlineLevel="0" collapsed="false">
      <c r="A6" s="5" t="s">
        <v>30</v>
      </c>
      <c r="B6" s="37" t="n">
        <f aca="false">'Total pilote (3 scénarios)'!F20</f>
        <v>2261.484</v>
      </c>
      <c r="C6" s="21" t="n">
        <f aca="false">RANK(B6,$B$4:$B$11,1)</f>
        <v>8</v>
      </c>
      <c r="D6" s="31" t="str">
        <f aca="false">IF(C6=1,"Recommandé",IF(C6&lt;=3,"À étudier","Plus coûteux"))</f>
        <v>Plus coûteux</v>
      </c>
      <c r="E6" s="47" t="s">
        <v>90</v>
      </c>
    </row>
    <row r="7" customFormat="false" ht="15" hidden="false" customHeight="false" outlineLevel="0" collapsed="false">
      <c r="A7" s="8" t="s">
        <v>31</v>
      </c>
      <c r="B7" s="41" t="n">
        <f aca="false">'Total pilote (3 scénarios)'!F21</f>
        <v>353.13</v>
      </c>
      <c r="C7" s="26" t="n">
        <f aca="false">RANK(B7,$B$4:$B$11,1)</f>
        <v>2</v>
      </c>
      <c r="D7" s="48" t="str">
        <f aca="false">IF(C7=1,"Recommandé",IF(C7&lt;=3,"À étudier","Plus coûteux"))</f>
        <v>À étudier</v>
      </c>
      <c r="E7" s="49" t="s">
        <v>91</v>
      </c>
    </row>
    <row r="8" customFormat="false" ht="15" hidden="false" customHeight="false" outlineLevel="0" collapsed="false">
      <c r="A8" s="5" t="s">
        <v>32</v>
      </c>
      <c r="B8" s="37" t="n">
        <f aca="false">'Total pilote (3 scénarios)'!F22</f>
        <v>569.13</v>
      </c>
      <c r="C8" s="21" t="n">
        <f aca="false">RANK(B8,$B$4:$B$11,1)</f>
        <v>3</v>
      </c>
      <c r="D8" s="31" t="str">
        <f aca="false">IF(C8=1,"Recommandé",IF(C8&lt;=3,"À étudier","Plus coûteux"))</f>
        <v>À étudier</v>
      </c>
      <c r="E8" s="47" t="s">
        <v>92</v>
      </c>
    </row>
    <row r="9" customFormat="false" ht="23.85" hidden="false" customHeight="false" outlineLevel="0" collapsed="false">
      <c r="A9" s="8" t="s">
        <v>33</v>
      </c>
      <c r="B9" s="41" t="n">
        <f aca="false">'Total pilote (3 scénarios)'!F23</f>
        <v>645.93</v>
      </c>
      <c r="C9" s="26" t="n">
        <f aca="false">RANK(B9,$B$4:$B$11,1)</f>
        <v>4</v>
      </c>
      <c r="D9" s="48" t="str">
        <f aca="false">IF(C9=1,"Recommandé",IF(C9&lt;=3,"À étudier","Plus coûteux"))</f>
        <v>Plus coûteux</v>
      </c>
      <c r="E9" s="49" t="s">
        <v>93</v>
      </c>
    </row>
    <row r="10" customFormat="false" ht="15" hidden="false" customHeight="false" outlineLevel="0" collapsed="false">
      <c r="A10" s="5" t="s">
        <v>34</v>
      </c>
      <c r="B10" s="37" t="n">
        <f aca="false">'Total pilote (3 scénarios)'!F24</f>
        <v>1069.53</v>
      </c>
      <c r="C10" s="21" t="n">
        <f aca="false">RANK(B10,$B$4:$B$11,1)</f>
        <v>5</v>
      </c>
      <c r="D10" s="31" t="str">
        <f aca="false">IF(C10=1,"Recommandé",IF(C10&lt;=3,"À étudier","Plus coûteux"))</f>
        <v>Plus coûteux</v>
      </c>
      <c r="E10" s="47" t="s">
        <v>94</v>
      </c>
    </row>
    <row r="11" customFormat="false" ht="15" hidden="false" customHeight="false" outlineLevel="0" collapsed="false">
      <c r="A11" s="8" t="s">
        <v>35</v>
      </c>
      <c r="B11" s="41" t="n">
        <f aca="false">'Total pilote (3 scénarios)'!F25</f>
        <v>0</v>
      </c>
      <c r="C11" s="26" t="n">
        <f aca="false">RANK(B11,$B$4:$B$11,1)</f>
        <v>1</v>
      </c>
      <c r="D11" s="48" t="str">
        <f aca="false">IF(C11=1,"Recommandé",IF(C11&lt;=3,"À étudier","Plus coûteux"))</f>
        <v>Recommandé</v>
      </c>
      <c r="E11" s="49" t="s">
        <v>95</v>
      </c>
    </row>
    <row r="14" customFormat="false" ht="15" hidden="false" customHeight="false" outlineLevel="0" collapsed="false">
      <c r="A14" s="3" t="s">
        <v>96</v>
      </c>
    </row>
    <row r="15" customFormat="false" ht="15" hidden="false" customHeight="false" outlineLevel="0" collapsed="false">
      <c r="A15" s="50" t="str">
        <f aca="false">INDEX(A4:A11,MATCH(MIN(B4:B11),B4:B11,0))&amp;" — "&amp;TEXT(MIN(B4:B11),"# ##0")&amp;" € TTC sur le pilote. Vérifier les points de vigilance avant décision."</f>
        <v>HelloAsso —  0 € TTC sur le pilote. Vérifier les points de vigilance avant décision.</v>
      </c>
    </row>
  </sheetData>
  <sheetProtection sheet="true" formatCells="fals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2026-06-12T13:12:02Z</dcterms:created>
  <dc:creator>openpyxl</dc:creator>
  <dc:description/>
  <dc:language>en-US</dc:language>
  <cp:lastModifiedBy/>
  <dcterms:modified xsi:type="dcterms:W3CDTF">2026-06-12T13:12:07Z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