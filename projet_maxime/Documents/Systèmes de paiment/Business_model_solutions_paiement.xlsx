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ètres" sheetId="1" state="visible" r:id="rId3"/>
    <sheet name="Calendrier" sheetId="2" state="visible" r:id="rId4"/>
    <sheet name="Mensuel (moyen)" sheetId="3" state="visible" r:id="rId5"/>
    <sheet name="Annuel (3 scénarios)" sheetId="4" state="visible" r:id="rId6"/>
    <sheet name="Point d'équilibre" sheetId="5" state="visible" r:id="rId7"/>
    <sheet name="Graphiques" sheetId="6" state="visible" r:id="rId8"/>
    <sheet name="Résumé" sheetId="7" state="visible" r:id="rId9"/>
  </sheets>
  <definedNames>
    <definedName function="false" hidden="false" name="FREQ_SEM" vbProcedure="false">Paramètres!$C$10</definedName>
    <definedName function="false" hidden="false" name="HELLO_ABO" vbProcedure="false">Paramètres!$D$31</definedName>
    <definedName function="false" hidden="false" name="HELLO_ENT" vbProcedure="false">Paramètres!$E$31</definedName>
    <definedName function="false" hidden="false" name="HELLO_FIX" vbProcedure="false">Paramètres!$C$31</definedName>
    <definedName function="false" hidden="false" name="HELLO_PCT" vbProcedure="false">Paramètres!$B$31</definedName>
    <definedName function="false" hidden="false" name="LYRA_ABO" vbProcedure="false">Paramètres!$D$26</definedName>
    <definedName function="false" hidden="false" name="LYRA_ENT" vbProcedure="false">Paramètres!$E$26</definedName>
    <definedName function="false" hidden="false" name="LYRA_FIX" vbProcedure="false">Paramètres!$C$26</definedName>
    <definedName function="false" hidden="false" name="LYRA_PCT" vbProcedure="false">Paramètres!$B$26</definedName>
    <definedName function="false" hidden="false" name="MONETICO1_ABO" vbProcedure="false">Paramètres!$D$27</definedName>
    <definedName function="false" hidden="false" name="MONETICO1_ENT" vbProcedure="false">Paramètres!$E$27</definedName>
    <definedName function="false" hidden="false" name="MONETICO1_FIX" vbProcedure="false">Paramètres!$C$27</definedName>
    <definedName function="false" hidden="false" name="MONETICO1_PCT" vbProcedure="false">Paramètres!$B$27</definedName>
    <definedName function="false" hidden="false" name="MONETICO2_ABO" vbProcedure="false">Paramètres!$D$28</definedName>
    <definedName function="false" hidden="false" name="MONETICO2_ENT" vbProcedure="false">Paramètres!$E$28</definedName>
    <definedName function="false" hidden="false" name="MONETICO2_FIX" vbProcedure="false">Paramètres!$C$28</definedName>
    <definedName function="false" hidden="false" name="MONETICO2_PCT" vbProcedure="false">Paramètres!$B$28</definedName>
    <definedName function="false" hidden="false" name="MONTANT_FAIBLE" vbProcedure="false">Paramètres!$C$5</definedName>
    <definedName function="false" hidden="false" name="MONTANT_FORT" vbProcedure="false">Paramètres!$C$7</definedName>
    <definedName function="false" hidden="false" name="MONTANT_MOY" vbProcedure="false">Paramètres!$C$6</definedName>
    <definedName function="false" hidden="false" name="NB_ACTIFS_FAIBLE" vbProcedure="false">Paramètres!$B$5</definedName>
    <definedName function="false" hidden="false" name="NB_ACTIFS_FORT" vbProcedure="false">Paramètres!$B$7</definedName>
    <definedName function="false" hidden="false" name="NB_ACTIFS_MOY" vbProcedure="false">Paramètres!$B$6</definedName>
    <definedName function="false" hidden="false" name="PAYPLUG_ABO" vbProcedure="false">Paramètres!$D$25</definedName>
    <definedName function="false" hidden="false" name="PAYPLUG_ENT" vbProcedure="false">Paramètres!$E$25</definedName>
    <definedName function="false" hidden="false" name="PAYPLUG_FIX" vbProcedure="false">Paramètres!$C$25</definedName>
    <definedName function="false" hidden="false" name="PAYPLUG_PCT" vbProcedure="false">Paramètres!$B$25</definedName>
    <definedName function="false" hidden="false" name="SOGEC_ABO" vbProcedure="false">Paramètres!$D$30</definedName>
    <definedName function="false" hidden="false" name="SOGEC_ENT" vbProcedure="false">Paramètres!$E$30</definedName>
    <definedName function="false" hidden="false" name="SOGEC_FIX" vbProcedure="false">Paramètres!$C$30</definedName>
    <definedName function="false" hidden="false" name="SOGEC_PCT" vbProcedure="false">Paramètres!$B$30</definedName>
    <definedName function="false" hidden="false" name="SOGEL_ABO" vbProcedure="false">Paramètres!$D$29</definedName>
    <definedName function="false" hidden="false" name="SOGEL_ENT" vbProcedure="false">Paramètres!$E$29</definedName>
    <definedName function="false" hidden="false" name="SOGEL_FIX" vbProcedure="false">Paramètres!$C$29</definedName>
    <definedName function="false" hidden="false" name="SOGEL_PCT" vbProcedure="false">Paramètres!$B$29</definedName>
    <definedName function="false" hidden="false" name="SOIREETX_AN" vbProcedure="false">Calendrier!$K$17</definedName>
    <definedName function="false" hidden="false" name="SOIREE_MONTANT" vbProcedure="false">Paramètres!$C$15</definedName>
    <definedName function="false" hidden="false" name="SOIREE_NB" vbProcedure="false">Paramètres!$C$16</definedName>
    <definedName function="false" hidden="false" name="SOIREE_PART" vbProcedure="false">Paramètres!$C$13</definedName>
    <definedName function="false" hidden="false" name="SOIREE_PCT" vbProcedure="false">Paramètres!$C$14</definedName>
    <definedName function="false" hidden="false" name="STRIPE_ABO" vbProcedure="false">Paramètres!$D$24</definedName>
    <definedName function="false" hidden="false" name="STRIPE_ENT" vbProcedure="false">Paramètres!$E$24</definedName>
    <definedName function="false" hidden="false" name="STRIPE_FIX" vbProcedure="false">Paramètres!$C$24</definedName>
    <definedName function="false" hidden="false" name="STRIPE_PCT" vbProcedure="false">Paramètres!$B$24</definedName>
    <definedName function="false" hidden="false" name="TVA" vbProcedure="false">Paramètres!$C$19</definedName>
    <definedName function="false" hidden="false" name="TXPA_AN" vbProcedure="false">Calendrier!$I$17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<sst xmlns="http://schemas.openxmlformats.org/spreadsheetml/2006/main" count="216" uniqueCount="121">
  <si>
    <t xml:space="preserve">PARAMÈTRES DU MODÈLE — toutes les valeurs bleues sont modifiables</t>
  </si>
  <si>
    <t xml:space="preserve">1. Scénarios d'adoption</t>
  </si>
  <si>
    <t xml:space="preserve">Scénario</t>
  </si>
  <si>
    <t xml:space="preserve">Étudiants actifs</t>
  </si>
  <si>
    <t xml:space="preserve">Rechargement moyen (€)</t>
  </si>
  <si>
    <t xml:space="preserve">Faible</t>
  </si>
  <si>
    <t xml:space="preserve">Moyen</t>
  </si>
  <si>
    <t xml:space="preserve">Fort</t>
  </si>
  <si>
    <t xml:space="preserve">2. Comportement de rechargement</t>
  </si>
  <si>
    <t xml:space="preserve">Fréquence de rechargement (1 recharge toutes les X semaines)</t>
  </si>
  <si>
    <t xml:space="preserve">3. Soirées étudiantes</t>
  </si>
  <si>
    <t xml:space="preserve">Participants par soirée</t>
  </si>
  <si>
    <t xml:space="preserve">Part des participants qui rechargent (%)</t>
  </si>
  <si>
    <t xml:space="preserve">Montant du rechargement soirée (€)</t>
  </si>
  <si>
    <t xml:space="preserve">Nombre de soirées par mois (en période scolaire)</t>
  </si>
  <si>
    <t xml:space="preserve">4. TVA</t>
  </si>
  <si>
    <t xml:space="preserve">Taux de TVA appliqué aux coûts</t>
  </si>
  <si>
    <t xml:space="preserve">5. Solutions de paiement</t>
  </si>
  <si>
    <t xml:space="preserve">Cellules jaunes = hypothèses à confirmer (pas de grille publique)</t>
  </si>
  <si>
    <t xml:space="preserve">Solution</t>
  </si>
  <si>
    <t xml:space="preserve">% par transaction</t>
  </si>
  <si>
    <t xml:space="preserve">Fixe par transaction (€)</t>
  </si>
  <si>
    <t xml:space="preserve">Abonnement HT/mois (€)</t>
  </si>
  <si>
    <t xml:space="preserve">Frais d'entrée HT (€)</t>
  </si>
  <si>
    <t xml:space="preserve">Stripe</t>
  </si>
  <si>
    <t xml:space="preserve">Payplug</t>
  </si>
  <si>
    <t xml:space="preserve">Lyra Collect</t>
  </si>
  <si>
    <t xml:space="preserve">Monetico (sans abo)</t>
  </si>
  <si>
    <t xml:space="preserve">Monetico (abo estimé)</t>
  </si>
  <si>
    <t xml:space="preserve">SogeCommerce Lite</t>
  </si>
  <si>
    <t xml:space="preserve">SogeCommerce Complet</t>
  </si>
  <si>
    <t xml:space="preserve">HelloAsso</t>
  </si>
  <si>
    <t xml:space="preserve">CALENDRIER SCOLAIRE — volume d'activité mois par mois</t>
  </si>
  <si>
    <t xml:space="preserve">Colonnes bleues modifiables : semaines de vacances, présence des cohortes (1 = présents, 0,5 = demi-mois, 0 = partis), soirée (1/0)</t>
  </si>
  <si>
    <t xml:space="preserve">Mois</t>
  </si>
  <si>
    <t xml:space="preserve">Semaines brutes</t>
  </si>
  <si>
    <t xml:space="preserve">Semaines vacances</t>
  </si>
  <si>
    <t xml:space="preserve">Semaines actives</t>
  </si>
  <si>
    <t xml:space="preserve">Présence 1A</t>
  </si>
  <si>
    <t xml:space="preserve">Présence 2A</t>
  </si>
  <si>
    <t xml:space="preserve">Présence 3A</t>
  </si>
  <si>
    <t xml:space="preserve">Facteur présence</t>
  </si>
  <si>
    <t xml:space="preserve">Recharges / actif</t>
  </si>
  <si>
    <t xml:space="preserve">Soirée (1/0)</t>
  </si>
  <si>
    <t xml:space="preserve">Tx soirée</t>
  </si>
  <si>
    <t xml:space="preserve">Tx mois (scén. moyen)</t>
  </si>
  <si>
    <t xml:space="preserve">Volume mois € (scén. moyen)</t>
  </si>
  <si>
    <t xml:space="preserve">Septembre</t>
  </si>
  <si>
    <t xml:space="preserve">Octobre</t>
  </si>
  <si>
    <t xml:space="preserve">Novembre</t>
  </si>
  <si>
    <t xml:space="preserve">Décembre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</si>
  <si>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</si>
  <si>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</si>
  <si>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</si>
  <si>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</si>
  <si>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</si>
  <si>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</si>
  <si>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</si>
  <si>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</si>
  <si>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TOTAL ANNÉE</t>
  </si>
  <si>
    <t xml:space="preserve">COMPARATIF MENSUEL — scénario moyen</t>
  </si>
  <si>
    <t xml:space="preserve">Coût total pour les assos, mois par mois. Vert = moins cher, rouge = plus cher. Les abonnements courent aussi pendant les mois creux.</t>
  </si>
  <si>
    <t xml:space="preserve">Transactions</t>
  </si>
  <si>
    <t xml:space="preserve">Volume rechargé (€)</t>
  </si>
  <si>
    <t xml:space="preserve">TOTAL HT</t>
  </si>
  <si>
    <t xml:space="preserve">TOTAL TTC</t>
  </si>
  <si>
    <t xml:space="preserve">Décomposition annuelle des coûts (HT)</t>
  </si>
  <si>
    <t xml:space="preserve">Poste</t>
  </si>
  <si>
    <t xml:space="preserve">Frais variables (% + fixe/tx)</t>
  </si>
  <si>
    <t xml:space="preserve">Abonnements (12 mois)</t>
  </si>
  <si>
    <t xml:space="preserve">Frais d'entrée (année 1)</t>
  </si>
  <si>
    <t xml:space="preserve">TOTAL HT année 1</t>
  </si>
  <si>
    <t xml:space="preserve">COMPARATIF ANNUEL — 3 scénarios d'adoption</t>
  </si>
  <si>
    <t xml:space="preserve">Scénario Faible</t>
  </si>
  <si>
    <t xml:space="preserve">Transactions / an</t>
  </si>
  <si>
    <t xml:space="preserve">Volume rechargé / an</t>
  </si>
  <si>
    <t xml:space="preserve">Coût variable HT</t>
  </si>
  <si>
    <t xml:space="preserve">Abonnements HT</t>
  </si>
  <si>
    <t xml:space="preserve">Entrée HT</t>
  </si>
  <si>
    <t xml:space="preserve">Total HT</t>
  </si>
  <si>
    <t xml:space="preserve">Total TTC</t>
  </si>
  <si>
    <t xml:space="preserve">Coût / transaction</t>
  </si>
  <si>
    <t xml:space="preserve">Coût pour 1 € encaissé</t>
  </si>
  <si>
    <t xml:space="preserve">Rang</t>
  </si>
  <si>
    <t xml:space="preserve">Scénario Moyen</t>
  </si>
  <si>
    <t xml:space="preserve">Scénario Fort</t>
  </si>
  <si>
    <t xml:space="preserve">Synthèse Total TTC (source graphique)</t>
  </si>
  <si>
    <t xml:space="preserve">POINT D'ÉQUILIBRE — à partir de quel volume une solution à abonnement bat Stripe ?</t>
  </si>
  <si>
    <t xml:space="preserve">Hypothèse : transactions au panier moyen du scénario moyen. Économie par transaction = ce que la solution fait gagner par rapport à Stripe.</t>
  </si>
  <si>
    <t xml:space="preserve">Coût fixe mensuel HT (abo + entrée/12)</t>
  </si>
  <si>
    <t xml:space="preserve">Économie par transaction vs Stripe</t>
  </si>
  <si>
    <t xml:space="preserve">Transactions / mois pour l'équilibre</t>
  </si>
  <si>
    <t xml:space="preserve">Volume € / mois pour l'équilibre</t>
  </si>
  <si>
    <t xml:space="preserve">Étudiants actifs équivalents</t>
  </si>
  <si>
    <t xml:space="preserve">Lecture : avec un panier moyen de 20 €, il faut ce nombre de transactions par mois pour que l'abonnement soit amorti par les frais plus bas.</t>
  </si>
  <si>
    <t xml:space="preserve">Coût mensuel HT en fonction du nombre de transactions (source graphiques)</t>
  </si>
  <si>
    <t xml:space="preserve">Transactions / mois</t>
  </si>
  <si>
    <t xml:space="preserve">GRAPHIQUES — tous liés aux feuilles de calcul, mis à jour automatiquement</t>
  </si>
  <si>
    <t xml:space="preserve">RÉSUMÉ &amp; RECOMMANDATION — basé sur le scénario moyen, mis à jour automatiquement</t>
  </si>
  <si>
    <t xml:space="preserve">Coût annuel TTC (scén. moyen)</t>
  </si>
  <si>
    <t xml:space="preserve">Verdict</t>
  </si>
  <si>
    <t xml:space="preserve">Point fort</t>
  </si>
  <si>
    <t xml:space="preserve">Point de vigilance</t>
  </si>
  <si>
    <t xml:space="preserve">API excellente, sandbox immédiate, aucun coût fixe</t>
  </si>
  <si>
    <t xml:space="preserve">Acteur américain, frais légèrement plus élevés</t>
  </si>
  <si>
    <t xml:space="preserve">Frais les plus bas des PSP classiques sur cartes FR</t>
  </si>
  <si>
    <t xml:space="preserve">Abonnement dû même les mois creux ; entrée à confirmer</t>
  </si>
  <si>
    <t xml:space="preserve">Acteur français historique, API complète</t>
  </si>
  <si>
    <t xml:space="preserve">Abonnement + entrée ; minimum mensuel à négocier</t>
  </si>
  <si>
    <t xml:space="preserve">Commission potentiellement très basse</t>
  </si>
  <si>
    <t xml:space="preserve">Nécessite un compte CM/CIC ; taux à confirmer (hypothèse)</t>
  </si>
  <si>
    <t xml:space="preserve">Commission basse + relation bancaire intégrée</t>
  </si>
  <si>
    <t xml:space="preserve">Nécessite un compte CM/CIC ; abo et taux à confirmer</t>
  </si>
  <si>
    <t xml:space="preserve">Abonnement le plus bas des offres bancaires</t>
  </si>
  <si>
    <t xml:space="preserve">Nécessite un compte Société Générale ; taux hypothèse</t>
  </si>
  <si>
    <t xml:space="preserve">Offre complète avec boutique en ligne</t>
  </si>
  <si>
    <t xml:space="preserve">Frais d'entrée 300 € ; nécessite compte SG</t>
  </si>
  <si>
    <t xml:space="preserve">Totalement gratuit pour les associations</t>
  </si>
  <si>
    <t xml:space="preserve">CGU à valider pour le cas wallet ; écran pourboire imposé</t>
  </si>
  <si>
    <t xml:space="preserve">Recommandation automatique (solution la moins chère du scénario moyen) :</t>
  </si>
  <si>
    <t xml:space="preserve">Note : les cellules jaunes de la feuille Paramètres sont des hypothèses (Monetico, SogeCommerce). Les verdicts se recalculent si vous les modifiez.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</si>
</sst>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&quot; €&quot;"/>
    <numFmt numFmtId="167" formatCode="0.0%"/>
    <numFmt numFmtId="168" formatCode="#,##0.00&quot; €&quot;"/>
    <numFmt numFmtId="169" formatCode="0.0"/>
    <numFmt numFmtId="170" formatCode="0.00"/>
    <numFmt numFmtId="171" formatCode="0.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A6004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A6004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A6004C"/>
        <bgColor rgb="FF800080"/>
      </patternFill>
    </fill>
    <fill>
      <patternFill patternType="solid">
        <fgColor rgb="FFF5F5F5"/>
        <bgColor rgb="FFF9F9F9"/>
      </patternFill>
    </fill>
    <fill>
      <patternFill patternType="solid">
        <fgColor rgb="FFFFF2CC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8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8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A6004C"/>
      <rgbColor rgb="FF008080"/>
      <rgbColor rgb="FFCCCCCC"/>
      <rgbColor rgb="FF878787"/>
      <rgbColor rgb="FF93A9CE"/>
      <rgbColor rgb="FFAA433F"/>
      <rgbColor rgb="FFFFF2CC"/>
      <rgbColor rgb="FFF5F5F5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D09493"/>
      <rgbColor rgb="FFCC8F8E"/>
      <rgbColor rgb="FFFFCC99"/>
      <rgbColor rgb="FF426FA6"/>
      <rgbColor rgb="FF4299B0"/>
      <rgbColor rgb="FF8AA64F"/>
      <rgbColor rgb="FFFFCC00"/>
      <rgbColor rgb="FFDB8238"/>
      <rgbColor rgb="FFFF6600"/>
      <rgbColor rgb="FF725990"/>
      <rgbColor rgb="FF8EA5CA"/>
      <rgbColor rgb="FF003366"/>
      <rgbColor rgb="FF3D97AF"/>
      <rgbColor rgb="FF003300"/>
      <rgbColor rgb="FF333300"/>
      <rgbColor rgb="FF993300"/>
      <rgbColor rgb="FFAB4744"/>
      <rgbColor rgb="FF6F56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Coût mensuel HT par solution (scénario moyen)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'Mensuel (moyen)'!D4</c:f>
              <c:strCache>
                <c:ptCount val="1"/>
                <c:pt idx="0">
                  <c:v>Stripe</c:v>
                </c:pt>
              </c:strCache>
            </c:strRef>
          </c:tx>
          <c:spPr>
            <a:solidFill>
              <a:srgbClr val="426fa6"/>
            </a:solidFill>
            <a:ln w="4752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(moyen)'!$A$5:$A$16</c:f>
              <c:strCache>
                <c:ptCount val="12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  <c:pt idx="9">
                  <c:v>Juin</c:v>
                </c:pt>
                <c:pt idx="10">
                  <c:v>Juillet</c:v>
                </c:pt>
                <c:pt idx="11">
                  <c:v>Août</c:v>
                </c:pt>
              </c:strCache>
            </c:strRef>
          </c:cat>
          <c:val>
            <c:numRef>
              <c:f>'Mensuel (moyen)'!$D$5:$D$16</c:f>
              <c:numCache>
                <c:formatCode>#,##0.00" €"</c:formatCode>
                <c:ptCount val="12"/>
                <c:pt idx="0">
                  <c:v>360.28125</c:v>
                </c:pt>
                <c:pt idx="1">
                  <c:v>277.78125</c:v>
                </c:pt>
                <c:pt idx="2">
                  <c:v>360.28125</c:v>
                </c:pt>
                <c:pt idx="3">
                  <c:v>195.28125</c:v>
                </c:pt>
                <c:pt idx="4">
                  <c:v>250.28125</c:v>
                </c:pt>
                <c:pt idx="5">
                  <c:v>140.28125</c:v>
                </c:pt>
                <c:pt idx="6">
                  <c:v>250.28125</c:v>
                </c:pt>
                <c:pt idx="7">
                  <c:v>112.78125</c:v>
                </c:pt>
                <c:pt idx="8">
                  <c:v>140.28125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'Mensuel (moyen)'!E4</c:f>
              <c:strCache>
                <c:ptCount val="1"/>
                <c:pt idx="0">
                  <c:v>Payplug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(moyen)'!$A$5:$A$16</c:f>
              <c:strCache>
                <c:ptCount val="12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  <c:pt idx="9">
                  <c:v>Juin</c:v>
                </c:pt>
                <c:pt idx="10">
                  <c:v>Juillet</c:v>
                </c:pt>
                <c:pt idx="11">
                  <c:v>Août</c:v>
                </c:pt>
              </c:strCache>
            </c:strRef>
          </c:cat>
          <c:val>
            <c:numRef>
              <c:f>'Mensuel (moyen)'!$E$5:$E$16</c:f>
              <c:numCache>
                <c:formatCode>#,##0.00" €"</c:formatCode>
                <c:ptCount val="12"/>
                <c:pt idx="0">
                  <c:v>338.45625</c:v>
                </c:pt>
                <c:pt idx="1">
                  <c:v>267.95625</c:v>
                </c:pt>
                <c:pt idx="2">
                  <c:v>338.45625</c:v>
                </c:pt>
                <c:pt idx="3">
                  <c:v>197.45625</c:v>
                </c:pt>
                <c:pt idx="4">
                  <c:v>244.45625</c:v>
                </c:pt>
                <c:pt idx="5">
                  <c:v>150.45625</c:v>
                </c:pt>
                <c:pt idx="6">
                  <c:v>244.45625</c:v>
                </c:pt>
                <c:pt idx="7">
                  <c:v>126.95625</c:v>
                </c:pt>
                <c:pt idx="8">
                  <c:v>150.45625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'Mensuel (moyen)'!F4</c:f>
              <c:strCache>
                <c:ptCount val="1"/>
                <c:pt idx="0">
                  <c:v>Lyra Collect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(moyen)'!$A$5:$A$16</c:f>
              <c:strCache>
                <c:ptCount val="12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  <c:pt idx="9">
                  <c:v>Juin</c:v>
                </c:pt>
                <c:pt idx="10">
                  <c:v>Juillet</c:v>
                </c:pt>
                <c:pt idx="11">
                  <c:v>Août</c:v>
                </c:pt>
              </c:strCache>
            </c:strRef>
          </c:cat>
          <c:val>
            <c:numRef>
              <c:f>'Mensuel (moyen)'!$F$5:$F$16</c:f>
              <c:numCache>
                <c:formatCode>#,##0.00" €"</c:formatCode>
                <c:ptCount val="12"/>
                <c:pt idx="0">
                  <c:v>362.3875</c:v>
                </c:pt>
                <c:pt idx="1">
                  <c:v>290.3875</c:v>
                </c:pt>
                <c:pt idx="2">
                  <c:v>362.3875</c:v>
                </c:pt>
                <c:pt idx="3">
                  <c:v>218.3875</c:v>
                </c:pt>
                <c:pt idx="4">
                  <c:v>266.3875</c:v>
                </c:pt>
                <c:pt idx="5">
                  <c:v>170.3875</c:v>
                </c:pt>
                <c:pt idx="6">
                  <c:v>266.3875</c:v>
                </c:pt>
                <c:pt idx="7">
                  <c:v>146.3875</c:v>
                </c:pt>
                <c:pt idx="8">
                  <c:v>170.3875</c:v>
                </c:pt>
                <c:pt idx="9">
                  <c:v>48.25</c:v>
                </c:pt>
                <c:pt idx="10">
                  <c:v>48.25</c:v>
                </c:pt>
                <c:pt idx="11">
                  <c:v>48.25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'Mensuel (moyen)'!G4</c:f>
              <c:strCache>
                <c:ptCount val="1"/>
                <c:pt idx="0">
                  <c:v>Monetico (sans abo)</c:v>
                </c:pt>
              </c:strCache>
            </c:strRef>
          </c:tx>
          <c:spPr>
            <a:solidFill>
              <a:srgbClr val="6f568d"/>
            </a:solidFill>
            <a:ln w="4752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(moyen)'!$A$5:$A$16</c:f>
              <c:strCache>
                <c:ptCount val="12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  <c:pt idx="9">
                  <c:v>Juin</c:v>
                </c:pt>
                <c:pt idx="10">
                  <c:v>Juillet</c:v>
                </c:pt>
                <c:pt idx="11">
                  <c:v>Août</c:v>
                </c:pt>
              </c:strCache>
            </c:strRef>
          </c:cat>
          <c:val>
            <c:numRef>
              <c:f>'Mensuel (moyen)'!$G$5:$G$16</c:f>
              <c:numCache>
                <c:formatCode>#,##0.00" €"</c:formatCode>
                <c:ptCount val="12"/>
                <c:pt idx="0">
                  <c:v>64.78125</c:v>
                </c:pt>
                <c:pt idx="1">
                  <c:v>49.78125</c:v>
                </c:pt>
                <c:pt idx="2">
                  <c:v>64.78125</c:v>
                </c:pt>
                <c:pt idx="3">
                  <c:v>34.78125</c:v>
                </c:pt>
                <c:pt idx="4">
                  <c:v>44.78125</c:v>
                </c:pt>
                <c:pt idx="5">
                  <c:v>24.78125</c:v>
                </c:pt>
                <c:pt idx="6">
                  <c:v>44.78125</c:v>
                </c:pt>
                <c:pt idx="7">
                  <c:v>19.78125</c:v>
                </c:pt>
                <c:pt idx="8">
                  <c:v>24.78125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'Mensuel (moyen)'!H4</c:f>
              <c:strCache>
                <c:ptCount val="1"/>
                <c:pt idx="0">
                  <c:v>Monetico (abo estimé)</c:v>
                </c:pt>
              </c:strCache>
            </c:strRef>
          </c:tx>
          <c:spPr>
            <a:solidFill>
              <a:srgbClr val="3d97af"/>
            </a:solidFill>
            <a:ln w="4752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(moyen)'!$A$5:$A$16</c:f>
              <c:strCache>
                <c:ptCount val="12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  <c:pt idx="9">
                  <c:v>Juin</c:v>
                </c:pt>
                <c:pt idx="10">
                  <c:v>Juillet</c:v>
                </c:pt>
                <c:pt idx="11">
                  <c:v>Août</c:v>
                </c:pt>
              </c:strCache>
            </c:strRef>
          </c:cat>
          <c:val>
            <c:numRef>
              <c:f>'Mensuel (moyen)'!$H$5:$H$16</c:f>
              <c:numCache>
                <c:formatCode>#,##0.00" €"</c:formatCode>
                <c:ptCount val="12"/>
                <c:pt idx="0">
                  <c:v>84.78125</c:v>
                </c:pt>
                <c:pt idx="1">
                  <c:v>69.78125</c:v>
                </c:pt>
                <c:pt idx="2">
                  <c:v>84.78125</c:v>
                </c:pt>
                <c:pt idx="3">
                  <c:v>54.78125</c:v>
                </c:pt>
                <c:pt idx="4">
                  <c:v>64.78125</c:v>
                </c:pt>
                <c:pt idx="5">
                  <c:v>44.78125</c:v>
                </c:pt>
                <c:pt idx="6">
                  <c:v>64.78125</c:v>
                </c:pt>
                <c:pt idx="7">
                  <c:v>39.78125</c:v>
                </c:pt>
                <c:pt idx="8">
                  <c:v>44.78125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'Mensuel (moyen)'!I4</c:f>
              <c:strCache>
                <c:ptCount val="1"/>
                <c:pt idx="0">
                  <c:v>SogeCommerce Lite</c:v>
                </c:pt>
              </c:strCache>
            </c:strRef>
          </c:tx>
          <c:spPr>
            <a:solidFill>
              <a:srgbClr val="db8238"/>
            </a:solidFill>
            <a:ln w="4752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(moyen)'!$A$5:$A$16</c:f>
              <c:strCache>
                <c:ptCount val="12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  <c:pt idx="9">
                  <c:v>Juin</c:v>
                </c:pt>
                <c:pt idx="10">
                  <c:v>Juillet</c:v>
                </c:pt>
                <c:pt idx="11">
                  <c:v>Août</c:v>
                </c:pt>
              </c:strCache>
            </c:strRef>
          </c:cat>
          <c:val>
            <c:numRef>
              <c:f>'Mensuel (moyen)'!$I$5:$I$16</c:f>
              <c:numCache>
                <c:formatCode>#,##0.00" €"</c:formatCode>
                <c:ptCount val="12"/>
                <c:pt idx="0">
                  <c:v>89.1145833333333</c:v>
                </c:pt>
                <c:pt idx="1">
                  <c:v>74.1145833333333</c:v>
                </c:pt>
                <c:pt idx="2">
                  <c:v>89.1145833333333</c:v>
                </c:pt>
                <c:pt idx="3">
                  <c:v>59.1145833333333</c:v>
                </c:pt>
                <c:pt idx="4">
                  <c:v>69.1145833333333</c:v>
                </c:pt>
                <c:pt idx="5">
                  <c:v>49.1145833333333</c:v>
                </c:pt>
                <c:pt idx="6">
                  <c:v>69.1145833333333</c:v>
                </c:pt>
                <c:pt idx="7">
                  <c:v>44.1145833333333</c:v>
                </c:pt>
                <c:pt idx="8">
                  <c:v>49.1145833333333</c:v>
                </c:pt>
                <c:pt idx="9">
                  <c:v>24.3333333333333</c:v>
                </c:pt>
                <c:pt idx="10">
                  <c:v>24.3333333333333</c:v>
                </c:pt>
                <c:pt idx="11">
                  <c:v>24.3333333333333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'Mensuel (moyen)'!J4</c:f>
              <c:strCache>
                <c:ptCount val="1"/>
                <c:pt idx="0">
                  <c:v>SogeCommerce Complet</c:v>
                </c:pt>
              </c:strCache>
            </c:strRef>
          </c:tx>
          <c:spPr>
            <a:solidFill>
              <a:srgbClr val="8ea5ca"/>
            </a:solidFill>
            <a:ln w="4752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(moyen)'!$A$5:$A$16</c:f>
              <c:strCache>
                <c:ptCount val="12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  <c:pt idx="9">
                  <c:v>Juin</c:v>
                </c:pt>
                <c:pt idx="10">
                  <c:v>Juillet</c:v>
                </c:pt>
                <c:pt idx="11">
                  <c:v>Août</c:v>
                </c:pt>
              </c:strCache>
            </c:strRef>
          </c:cat>
          <c:val>
            <c:numRef>
              <c:f>'Mensuel (moyen)'!$J$5:$J$16</c:f>
              <c:numCache>
                <c:formatCode>#,##0.00" €"</c:formatCode>
                <c:ptCount val="12"/>
                <c:pt idx="0">
                  <c:v>122.78125</c:v>
                </c:pt>
                <c:pt idx="1">
                  <c:v>107.78125</c:v>
                </c:pt>
                <c:pt idx="2">
                  <c:v>122.78125</c:v>
                </c:pt>
                <c:pt idx="3">
                  <c:v>92.78125</c:v>
                </c:pt>
                <c:pt idx="4">
                  <c:v>102.78125</c:v>
                </c:pt>
                <c:pt idx="5">
                  <c:v>82.78125</c:v>
                </c:pt>
                <c:pt idx="6">
                  <c:v>102.78125</c:v>
                </c:pt>
                <c:pt idx="7">
                  <c:v>77.78125</c:v>
                </c:pt>
                <c:pt idx="8">
                  <c:v>82.78125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'Mensuel (moyen)'!K4</c:f>
              <c:strCache>
                <c:ptCount val="1"/>
                <c:pt idx="0">
                  <c:v>HelloAsso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'Mensuel (moyen)'!$A$5:$A$16</c:f>
              <c:strCache>
                <c:ptCount val="12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  <c:pt idx="6">
                  <c:v>Mars</c:v>
                </c:pt>
                <c:pt idx="7">
                  <c:v>Avril</c:v>
                </c:pt>
                <c:pt idx="8">
                  <c:v>Mai</c:v>
                </c:pt>
                <c:pt idx="9">
                  <c:v>Juin</c:v>
                </c:pt>
                <c:pt idx="10">
                  <c:v>Juillet</c:v>
                </c:pt>
                <c:pt idx="11">
                  <c:v>Août</c:v>
                </c:pt>
              </c:strCache>
            </c:strRef>
          </c:cat>
          <c:val>
            <c:numRef>
              <c:f>'Mensuel (moyen)'!$K$5:$K$16</c:f>
              <c:numCache>
                <c:formatCode>#,##0.00" €"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036710"/>
        <c:axId val="19953332"/>
      </c:lineChart>
      <c:catAx>
        <c:axId val="43036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53332"/>
        <c:crosses val="autoZero"/>
        <c:auto val="1"/>
        <c:lblAlgn val="ctr"/>
        <c:lblOffset val="100"/>
        <c:noMultiLvlLbl val="0"/>
      </c:catAx>
      <c:valAx>
        <c:axId val="199533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Coût HT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367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Coût annuel TTC par solution et par scénario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'Annuel (3 scénarios)'!B41</c:f>
              <c:strCache>
                <c:ptCount val="1"/>
                <c:pt idx="0">
                  <c:v>Stripe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'Annuel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'Annuel (3 scénarios)'!$B$42:$B$44</c:f>
              <c:numCache>
                <c:formatCode>#,##0" €"</c:formatCode>
                <c:ptCount val="3"/>
                <c:pt idx="0">
                  <c:v>1267.5375</c:v>
                </c:pt>
                <c:pt idx="1">
                  <c:v>2505.0375</c:v>
                </c:pt>
                <c:pt idx="2">
                  <c:v>4039.5375</c:v>
                </c:pt>
              </c:numCache>
            </c:numRef>
          </c:val>
        </c:ser>
        <c:ser>
          <c:idx val="1"/>
          <c:order val="1"/>
          <c:tx>
            <c:strRef>
              <c:f>'Annuel (3 scénarios)'!C41</c:f>
              <c:strCache>
                <c:ptCount val="1"/>
                <c:pt idx="0">
                  <c:v>Payplug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'Annuel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'Annuel (3 scénarios)'!$C$42:$C$44</c:f>
              <c:numCache>
                <c:formatCode>#,##0" €"</c:formatCode>
                <c:ptCount val="3"/>
                <c:pt idx="0">
                  <c:v>1539.4275</c:v>
                </c:pt>
                <c:pt idx="1">
                  <c:v>2578.9275</c:v>
                </c:pt>
                <c:pt idx="2">
                  <c:v>3836.2275</c:v>
                </c:pt>
              </c:numCache>
            </c:numRef>
          </c:val>
        </c:ser>
        <c:ser>
          <c:idx val="2"/>
          <c:order val="2"/>
          <c:tx>
            <c:strRef>
              <c:f>'Annuel (3 scénarios)'!D41</c:f>
              <c:strCache>
                <c:ptCount val="1"/>
                <c:pt idx="0">
                  <c:v>Lyra Collect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'Annuel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'Annuel (3 scénarios)'!$D$42:$D$44</c:f>
              <c:numCache>
                <c:formatCode>#,##0" €"</c:formatCode>
                <c:ptCount val="3"/>
                <c:pt idx="0">
                  <c:v>1788.885</c:v>
                </c:pt>
                <c:pt idx="1">
                  <c:v>2877.885</c:v>
                </c:pt>
                <c:pt idx="2">
                  <c:v>4244.085</c:v>
                </c:pt>
              </c:numCache>
            </c:numRef>
          </c:val>
        </c:ser>
        <c:ser>
          <c:idx val="3"/>
          <c:order val="3"/>
          <c:tx>
            <c:strRef>
              <c:f>'Annuel (3 scénarios)'!E41</c:f>
              <c:strCache>
                <c:ptCount val="1"/>
                <c:pt idx="0">
                  <c:v>Monetico (sans abo)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'Annuel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'Annuel (3 scénarios)'!$E$42:$E$44</c:f>
              <c:numCache>
                <c:formatCode>#,##0" €"</c:formatCode>
                <c:ptCount val="3"/>
                <c:pt idx="0">
                  <c:v>200.1375</c:v>
                </c:pt>
                <c:pt idx="1">
                  <c:v>447.6375</c:v>
                </c:pt>
                <c:pt idx="2">
                  <c:v>794.1375</c:v>
                </c:pt>
              </c:numCache>
            </c:numRef>
          </c:val>
        </c:ser>
        <c:ser>
          <c:idx val="4"/>
          <c:order val="4"/>
          <c:tx>
            <c:strRef>
              <c:f>'Annuel (3 scénarios)'!F41</c:f>
              <c:strCache>
                <c:ptCount val="1"/>
                <c:pt idx="0">
                  <c:v>Monetico (abo estimé)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'Annuel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'Annuel (3 scénarios)'!$F$42:$F$44</c:f>
              <c:numCache>
                <c:formatCode>#,##0" €"</c:formatCode>
                <c:ptCount val="3"/>
                <c:pt idx="0">
                  <c:v>488.1375</c:v>
                </c:pt>
                <c:pt idx="1">
                  <c:v>735.6375</c:v>
                </c:pt>
                <c:pt idx="2">
                  <c:v>1082.1375</c:v>
                </c:pt>
              </c:numCache>
            </c:numRef>
          </c:val>
        </c:ser>
        <c:ser>
          <c:idx val="5"/>
          <c:order val="5"/>
          <c:tx>
            <c:strRef>
              <c:f>'Annuel (3 scénarios)'!G41</c:f>
              <c:strCache>
                <c:ptCount val="1"/>
                <c:pt idx="0">
                  <c:v>SogeCommerce Lite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'Annuel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'Annuel (3 scénarios)'!$G$42:$G$44</c:f>
              <c:numCache>
                <c:formatCode>#,##0" €"</c:formatCode>
                <c:ptCount val="3"/>
                <c:pt idx="0">
                  <c:v>550.5375</c:v>
                </c:pt>
                <c:pt idx="1">
                  <c:v>798.0375</c:v>
                </c:pt>
                <c:pt idx="2">
                  <c:v>1144.5375</c:v>
                </c:pt>
              </c:numCache>
            </c:numRef>
          </c:val>
        </c:ser>
        <c:ser>
          <c:idx val="6"/>
          <c:order val="6"/>
          <c:tx>
            <c:strRef>
              <c:f>'Annuel (3 scénarios)'!H41</c:f>
              <c:strCache>
                <c:ptCount val="1"/>
                <c:pt idx="0">
                  <c:v>SogeCommerce Complet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'Annuel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'Annuel (3 scénarios)'!$H$42:$H$44</c:f>
              <c:numCache>
                <c:formatCode>#,##0" €"</c:formatCode>
                <c:ptCount val="3"/>
                <c:pt idx="0">
                  <c:v>1035.3375</c:v>
                </c:pt>
                <c:pt idx="1">
                  <c:v>1282.8375</c:v>
                </c:pt>
                <c:pt idx="2">
                  <c:v>1629.3375</c:v>
                </c:pt>
              </c:numCache>
            </c:numRef>
          </c:val>
        </c:ser>
        <c:ser>
          <c:idx val="7"/>
          <c:order val="7"/>
          <c:tx>
            <c:strRef>
              <c:f>'Annuel (3 scénarios)'!I41</c:f>
              <c:strCache>
                <c:ptCount val="1"/>
                <c:pt idx="0">
                  <c:v>HelloAsso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'Annuel (3 scénarios)'!$A$42:$A$44</c:f>
              <c:strCache>
                <c:ptCount val="3"/>
                <c:pt idx="0">
                  <c:v>Faible</c:v>
                </c:pt>
                <c:pt idx="1">
                  <c:v>Moyen</c:v>
                </c:pt>
                <c:pt idx="2">
                  <c:v>Fort</c:v>
                </c:pt>
              </c:strCache>
            </c:strRef>
          </c:cat>
          <c:val>
            <c:numRef>
              <c:f>'Annuel (3 scénarios)'!$I$42:$I$44</c:f>
              <c:numCache>
                <c:formatCode>#,##0" €"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4690238"/>
        <c:axId val="8924714"/>
      </c:barChart>
      <c:catAx>
        <c:axId val="84690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4714"/>
        <c:crosses val="autoZero"/>
        <c:auto val="1"/>
        <c:lblAlgn val="ctr"/>
        <c:lblOffset val="100"/>
        <c:noMultiLvlLbl val="0"/>
      </c:catAx>
      <c:valAx>
        <c:axId val="8924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Coût TTC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90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Point d'équilibre : Stripe vs Payplug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'Point d''équilibre'!B14</c:f>
              <c:strCache>
                <c:ptCount val="1"/>
                <c:pt idx="0">
                  <c:v>Stripe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'Point d''équilibre'!$A$15:$A$25</c:f>
              <c:strCach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1,000</c:v>
                </c:pt>
              </c:strCache>
            </c:strRef>
          </c:cat>
          <c:val>
            <c:numRef>
              <c:f>'Point d''équilibre'!$B$15:$B$25</c:f>
              <c:numCache>
                <c:formatCode>#,##0" €"</c:formatCode>
                <c:ptCount val="11"/>
                <c:pt idx="0">
                  <c:v>0</c:v>
                </c:pt>
                <c:pt idx="1">
                  <c:v>55</c:v>
                </c:pt>
                <c:pt idx="2">
                  <c:v>110</c:v>
                </c:pt>
                <c:pt idx="3">
                  <c:v>165</c:v>
                </c:pt>
                <c:pt idx="4">
                  <c:v>220</c:v>
                </c:pt>
                <c:pt idx="5">
                  <c:v>275</c:v>
                </c:pt>
                <c:pt idx="6">
                  <c:v>330</c:v>
                </c:pt>
                <c:pt idx="7">
                  <c:v>385</c:v>
                </c:pt>
                <c:pt idx="8">
                  <c:v>440</c:v>
                </c:pt>
                <c:pt idx="9">
                  <c:v>495</c:v>
                </c:pt>
                <c:pt idx="10">
                  <c:v>550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'Point d''équilibre'!C14</c:f>
              <c:strCache>
                <c:ptCount val="1"/>
                <c:pt idx="0">
                  <c:v>Payplug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'Point d''équilibre'!$A$15:$A$25</c:f>
              <c:strCach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1,000</c:v>
                </c:pt>
              </c:strCache>
            </c:strRef>
          </c:cat>
          <c:val>
            <c:numRef>
              <c:f>'Point d''équilibre'!$C$15:$C$25</c:f>
              <c:numCache>
                <c:formatCode>#,##0" €"</c:formatCode>
                <c:ptCount val="11"/>
                <c:pt idx="0">
                  <c:v>30</c:v>
                </c:pt>
                <c:pt idx="1">
                  <c:v>77</c:v>
                </c:pt>
                <c:pt idx="2">
                  <c:v>124</c:v>
                </c:pt>
                <c:pt idx="3">
                  <c:v>171</c:v>
                </c:pt>
                <c:pt idx="4">
                  <c:v>218</c:v>
                </c:pt>
                <c:pt idx="5">
                  <c:v>265</c:v>
                </c:pt>
                <c:pt idx="6">
                  <c:v>312</c:v>
                </c:pt>
                <c:pt idx="7">
                  <c:v>359</c:v>
                </c:pt>
                <c:pt idx="8">
                  <c:v>406</c:v>
                </c:pt>
                <c:pt idx="9">
                  <c:v>453</c:v>
                </c:pt>
                <c:pt idx="10">
                  <c:v>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0243756"/>
        <c:axId val="24349302"/>
      </c:lineChart>
      <c:catAx>
        <c:axId val="702437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Transactions / 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349302"/>
        <c:crosses val="autoZero"/>
        <c:auto val="1"/>
        <c:lblAlgn val="ctr"/>
        <c:lblOffset val="100"/>
        <c:noMultiLvlLbl val="0"/>
      </c:catAx>
      <c:valAx>
        <c:axId val="243493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Coût mensuel HT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2437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Point d'équilibre : Stripe vs Lyra Collect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'Point d''équilibre'!B14</c:f>
              <c:strCache>
                <c:ptCount val="1"/>
                <c:pt idx="0">
                  <c:v>Stripe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'Point d''équilibre'!$A$15:$A$25</c:f>
              <c:strCach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1,000</c:v>
                </c:pt>
              </c:strCache>
            </c:strRef>
          </c:cat>
          <c:val>
            <c:numRef>
              <c:f>'Point d''équilibre'!$B$15:$B$25</c:f>
              <c:numCache>
                <c:formatCode>#,##0" €"</c:formatCode>
                <c:ptCount val="11"/>
                <c:pt idx="0">
                  <c:v>0</c:v>
                </c:pt>
                <c:pt idx="1">
                  <c:v>55</c:v>
                </c:pt>
                <c:pt idx="2">
                  <c:v>110</c:v>
                </c:pt>
                <c:pt idx="3">
                  <c:v>165</c:v>
                </c:pt>
                <c:pt idx="4">
                  <c:v>220</c:v>
                </c:pt>
                <c:pt idx="5">
                  <c:v>275</c:v>
                </c:pt>
                <c:pt idx="6">
                  <c:v>330</c:v>
                </c:pt>
                <c:pt idx="7">
                  <c:v>385</c:v>
                </c:pt>
                <c:pt idx="8">
                  <c:v>440</c:v>
                </c:pt>
                <c:pt idx="9">
                  <c:v>495</c:v>
                </c:pt>
                <c:pt idx="10">
                  <c:v>550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'Point d''équilibre'!D14</c:f>
              <c:strCache>
                <c:ptCount val="1"/>
                <c:pt idx="0">
                  <c:v>Lyra Collect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'Point d''équilibre'!$A$15:$A$25</c:f>
              <c:strCach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1,000</c:v>
                </c:pt>
              </c:strCache>
            </c:strRef>
          </c:cat>
          <c:val>
            <c:numRef>
              <c:f>'Point d''équilibre'!$D$15:$D$25</c:f>
              <c:numCache>
                <c:formatCode>#,##0" €"</c:formatCode>
                <c:ptCount val="11"/>
                <c:pt idx="0">
                  <c:v>48.25</c:v>
                </c:pt>
                <c:pt idx="1">
                  <c:v>96.25</c:v>
                </c:pt>
                <c:pt idx="2">
                  <c:v>144.25</c:v>
                </c:pt>
                <c:pt idx="3">
                  <c:v>192.25</c:v>
                </c:pt>
                <c:pt idx="4">
                  <c:v>240.25</c:v>
                </c:pt>
                <c:pt idx="5">
                  <c:v>288.25</c:v>
                </c:pt>
                <c:pt idx="6">
                  <c:v>336.25</c:v>
                </c:pt>
                <c:pt idx="7">
                  <c:v>384.25</c:v>
                </c:pt>
                <c:pt idx="8">
                  <c:v>432.25</c:v>
                </c:pt>
                <c:pt idx="9">
                  <c:v>480.25</c:v>
                </c:pt>
                <c:pt idx="10">
                  <c:v>528.25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062628"/>
        <c:axId val="80497287"/>
      </c:lineChart>
      <c:catAx>
        <c:axId val="440626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Transactions / 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97287"/>
        <c:crosses val="autoZero"/>
        <c:auto val="1"/>
        <c:lblAlgn val="ctr"/>
        <c:lblOffset val="100"/>
        <c:noMultiLvlLbl val="0"/>
      </c:catAx>
      <c:valAx>
        <c:axId val="804972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Coût mensuel HT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626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175680</xdr:rowOff>
    </xdr:from>
    <xdr:to>
      <xdr:col>15</xdr:col>
      <xdr:colOff>187200</xdr:colOff>
      <xdr:row>22</xdr:row>
      <xdr:rowOff>135000</xdr:rowOff>
    </xdr:to>
    <xdr:graphicFrame>
      <xdr:nvGraphicFramePr>
        <xdr:cNvPr id="0" name="Chart 1"/>
        <xdr:cNvGraphicFramePr/>
      </xdr:nvGraphicFramePr>
      <xdr:xfrm>
        <a:off x="0" y="38088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175680</xdr:rowOff>
    </xdr:from>
    <xdr:to>
      <xdr:col>15</xdr:col>
      <xdr:colOff>187200</xdr:colOff>
      <xdr:row>45</xdr:row>
      <xdr:rowOff>135000</xdr:rowOff>
    </xdr:to>
    <xdr:graphicFrame>
      <xdr:nvGraphicFramePr>
        <xdr:cNvPr id="1" name="Chart 2"/>
        <xdr:cNvGraphicFramePr/>
      </xdr:nvGraphicFramePr>
      <xdr:xfrm>
        <a:off x="0" y="476244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47</xdr:row>
      <xdr:rowOff>176040</xdr:rowOff>
    </xdr:from>
    <xdr:to>
      <xdr:col>7</xdr:col>
      <xdr:colOff>399240</xdr:colOff>
      <xdr:row>66</xdr:row>
      <xdr:rowOff>155880</xdr:rowOff>
    </xdr:to>
    <xdr:graphicFrame>
      <xdr:nvGraphicFramePr>
        <xdr:cNvPr id="2" name="Chart 3"/>
        <xdr:cNvGraphicFramePr/>
      </xdr:nvGraphicFramePr>
      <xdr:xfrm>
        <a:off x="0" y="9144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47</xdr:row>
      <xdr:rowOff>176040</xdr:rowOff>
    </xdr:from>
    <xdr:to>
      <xdr:col>15</xdr:col>
      <xdr:colOff>399240</xdr:colOff>
      <xdr:row>66</xdr:row>
      <xdr:rowOff>155880</xdr:rowOff>
    </xdr:to>
    <xdr:graphicFrame>
      <xdr:nvGraphicFramePr>
        <xdr:cNvPr id="3" name="Chart 4"/>
        <xdr:cNvGraphicFramePr/>
      </xdr:nvGraphicFramePr>
      <xdr:xfrm>
        <a:off x="4892040" y="9144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150</v>
      </c>
      <c r="C5" s="6" t="n">
        <v>15</v>
      </c>
    </row>
    <row r="6" customFormat="false" ht="15" hidden="false" customHeight="false" outlineLevel="0" collapsed="false">
      <c r="A6" s="7" t="s">
        <v>6</v>
      </c>
      <c r="B6" s="8" t="n">
        <v>300</v>
      </c>
      <c r="C6" s="9" t="n">
        <v>20</v>
      </c>
    </row>
    <row r="7" customFormat="false" ht="15" hidden="false" customHeight="false" outlineLevel="0" collapsed="false">
      <c r="A7" s="4" t="s">
        <v>7</v>
      </c>
      <c r="B7" s="5" t="n">
        <v>450</v>
      </c>
      <c r="C7" s="6" t="n">
        <v>25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0" t="s">
        <v>9</v>
      </c>
      <c r="C10" s="10" t="n">
        <v>2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11" t="s">
        <v>11</v>
      </c>
      <c r="C13" s="12" t="n">
        <v>150</v>
      </c>
    </row>
    <row r="14" customFormat="false" ht="15" hidden="false" customHeight="false" outlineLevel="0" collapsed="false">
      <c r="A14" s="11" t="s">
        <v>12</v>
      </c>
      <c r="C14" s="13" t="n">
        <v>0.425</v>
      </c>
    </row>
    <row r="15" customFormat="false" ht="15" hidden="false" customHeight="false" outlineLevel="0" collapsed="false">
      <c r="A15" s="11" t="s">
        <v>13</v>
      </c>
      <c r="C15" s="14" t="n">
        <v>15</v>
      </c>
    </row>
    <row r="16" customFormat="false" ht="15" hidden="false" customHeight="false" outlineLevel="0" collapsed="false">
      <c r="A16" s="11" t="s">
        <v>14</v>
      </c>
      <c r="C16" s="12" t="n">
        <v>1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0" t="s">
        <v>16</v>
      </c>
      <c r="C19" s="13" t="n">
        <v>0.2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15" t="s">
        <v>18</v>
      </c>
    </row>
    <row r="23" customFormat="false" ht="23.85" hidden="false" customHeight="false" outlineLevel="0" collapsed="false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</row>
    <row r="24" customFormat="false" ht="15" hidden="false" customHeight="false" outlineLevel="0" collapsed="false">
      <c r="A24" s="4" t="s">
        <v>24</v>
      </c>
      <c r="B24" s="16" t="n">
        <v>0.015</v>
      </c>
      <c r="C24" s="17" t="n">
        <v>0.25</v>
      </c>
      <c r="D24" s="6" t="n">
        <v>0</v>
      </c>
      <c r="E24" s="6" t="n">
        <v>0</v>
      </c>
    </row>
    <row r="25" customFormat="false" ht="15" hidden="false" customHeight="false" outlineLevel="0" collapsed="false">
      <c r="A25" s="4" t="s">
        <v>25</v>
      </c>
      <c r="B25" s="16" t="n">
        <v>0.011</v>
      </c>
      <c r="C25" s="17" t="n">
        <v>0.25</v>
      </c>
      <c r="D25" s="6" t="n">
        <v>30</v>
      </c>
      <c r="E25" s="18" t="n">
        <v>0</v>
      </c>
    </row>
    <row r="26" customFormat="false" ht="15" hidden="false" customHeight="false" outlineLevel="0" collapsed="false">
      <c r="A26" s="4" t="s">
        <v>26</v>
      </c>
      <c r="B26" s="16" t="n">
        <v>0.014</v>
      </c>
      <c r="C26" s="17" t="n">
        <v>0.2</v>
      </c>
      <c r="D26" s="6" t="n">
        <v>40</v>
      </c>
      <c r="E26" s="6" t="n">
        <v>99</v>
      </c>
    </row>
    <row r="27" customFormat="false" ht="15" hidden="false" customHeight="false" outlineLevel="0" collapsed="false">
      <c r="A27" s="4" t="s">
        <v>27</v>
      </c>
      <c r="B27" s="19" t="n">
        <v>0.005</v>
      </c>
      <c r="C27" s="17" t="n">
        <v>0</v>
      </c>
      <c r="D27" s="6" t="n">
        <v>0</v>
      </c>
      <c r="E27" s="6" t="n">
        <v>0</v>
      </c>
    </row>
    <row r="28" customFormat="false" ht="15" hidden="false" customHeight="false" outlineLevel="0" collapsed="false">
      <c r="A28" s="4" t="s">
        <v>28</v>
      </c>
      <c r="B28" s="19" t="n">
        <v>0.005</v>
      </c>
      <c r="C28" s="17" t="n">
        <v>0</v>
      </c>
      <c r="D28" s="18" t="n">
        <v>20</v>
      </c>
      <c r="E28" s="6" t="n">
        <v>0</v>
      </c>
    </row>
    <row r="29" customFormat="false" ht="15" hidden="false" customHeight="false" outlineLevel="0" collapsed="false">
      <c r="A29" s="4" t="s">
        <v>29</v>
      </c>
      <c r="B29" s="19" t="n">
        <v>0.005</v>
      </c>
      <c r="C29" s="17" t="n">
        <v>0</v>
      </c>
      <c r="D29" s="6" t="n">
        <v>16</v>
      </c>
      <c r="E29" s="6" t="n">
        <v>100</v>
      </c>
    </row>
    <row r="30" customFormat="false" ht="15" hidden="false" customHeight="false" outlineLevel="0" collapsed="false">
      <c r="A30" s="4" t="s">
        <v>30</v>
      </c>
      <c r="B30" s="19" t="n">
        <v>0.005</v>
      </c>
      <c r="C30" s="17" t="n">
        <v>0</v>
      </c>
      <c r="D30" s="6" t="n">
        <v>33</v>
      </c>
      <c r="E30" s="6" t="n">
        <v>300</v>
      </c>
    </row>
    <row r="31" customFormat="false" ht="15" hidden="false" customHeight="false" outlineLevel="0" collapsed="false">
      <c r="A31" s="4" t="s">
        <v>31</v>
      </c>
      <c r="B31" s="16" t="n">
        <v>0</v>
      </c>
      <c r="C31" s="17" t="n">
        <v>0</v>
      </c>
      <c r="D31" s="6" t="n">
        <v>0</v>
      </c>
      <c r="E31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8" min="5" style="0" width="9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13"/>
    <col collapsed="false" customWidth="true" hidden="false" outlineLevel="0" max="13" min="13" style="0" width="16"/>
  </cols>
  <sheetData>
    <row r="1" customFormat="false" ht="16.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15" t="s">
        <v>33</v>
      </c>
    </row>
    <row r="4" customFormat="false" ht="23.85" hidden="false" customHeight="fals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</row>
    <row r="5" customFormat="false" ht="15" hidden="false" customHeight="false" outlineLevel="0" collapsed="false">
      <c r="A5" s="4" t="s">
        <v>47</v>
      </c>
      <c r="B5" s="20" t="n">
        <v>4</v>
      </c>
      <c r="C5" s="20" t="n">
        <v>0</v>
      </c>
      <c r="D5" s="21" t="n">
        <f aca="false">B5-C5</f>
        <v>4</v>
      </c>
      <c r="E5" s="22" t="n">
        <v>1</v>
      </c>
      <c r="F5" s="22" t="n">
        <v>1</v>
      </c>
      <c r="G5" s="22" t="n">
        <v>1</v>
      </c>
      <c r="H5" s="23" t="n">
        <f aca="false">AVERAGE(E5:G5)</f>
        <v>1</v>
      </c>
      <c r="I5" s="23" t="n">
        <f aca="false">D5/FREQ_SEM*H5</f>
        <v>2</v>
      </c>
      <c r="J5" s="20" t="n">
        <v>1</v>
      </c>
      <c r="K5" s="21" t="n">
        <f aca="false">J5*SOIREE_NB*SOIREE_PART*SOIREE_PCT</f>
        <v>63.75</v>
      </c>
      <c r="L5" s="21" t="n">
        <f aca="false">NB_ACTIFS_MOY*I5+K5</f>
        <v>663.75</v>
      </c>
      <c r="M5" s="24" t="n">
        <f aca="false">NB_ACTIFS_MOY*I5*MONTANT_MOY+K5*SOIREE_MONTANT</f>
        <v>12956.25</v>
      </c>
    </row>
    <row r="6" customFormat="false" ht="15" hidden="false" customHeight="false" outlineLevel="0" collapsed="false">
      <c r="A6" s="7" t="s">
        <v>48</v>
      </c>
      <c r="B6" s="25" t="n">
        <v>4</v>
      </c>
      <c r="C6" s="25" t="n">
        <v>1</v>
      </c>
      <c r="D6" s="26" t="n">
        <f aca="false">B6-C6</f>
        <v>3</v>
      </c>
      <c r="E6" s="27" t="n">
        <v>1</v>
      </c>
      <c r="F6" s="27" t="n">
        <v>1</v>
      </c>
      <c r="G6" s="27" t="n">
        <v>1</v>
      </c>
      <c r="H6" s="28" t="n">
        <f aca="false">AVERAGE(E6:G6)</f>
        <v>1</v>
      </c>
      <c r="I6" s="28" t="n">
        <f aca="false">D6/FREQ_SEM*H6</f>
        <v>1.5</v>
      </c>
      <c r="J6" s="25" t="n">
        <v>1</v>
      </c>
      <c r="K6" s="26" t="n">
        <f aca="false">J6*SOIREE_NB*SOIREE_PART*SOIREE_PCT</f>
        <v>63.75</v>
      </c>
      <c r="L6" s="26" t="n">
        <f aca="false">NB_ACTIFS_MOY*I6+K6</f>
        <v>513.75</v>
      </c>
      <c r="M6" s="29" t="n">
        <f aca="false">NB_ACTIFS_MOY*I6*MONTANT_MOY+K6*SOIREE_MONTANT</f>
        <v>9956.25</v>
      </c>
    </row>
    <row r="7" customFormat="false" ht="15" hidden="false" customHeight="false" outlineLevel="0" collapsed="false">
      <c r="A7" s="4" t="s">
        <v>49</v>
      </c>
      <c r="B7" s="20" t="n">
        <v>4</v>
      </c>
      <c r="C7" s="20" t="n">
        <v>0</v>
      </c>
      <c r="D7" s="21" t="n">
        <f aca="false">B7-C7</f>
        <v>4</v>
      </c>
      <c r="E7" s="22" t="n">
        <v>1</v>
      </c>
      <c r="F7" s="22" t="n">
        <v>1</v>
      </c>
      <c r="G7" s="22" t="n">
        <v>1</v>
      </c>
      <c r="H7" s="23" t="n">
        <f aca="false">AVERAGE(E7:G7)</f>
        <v>1</v>
      </c>
      <c r="I7" s="23" t="n">
        <f aca="false">D7/FREQ_SEM*H7</f>
        <v>2</v>
      </c>
      <c r="J7" s="20" t="n">
        <v>1</v>
      </c>
      <c r="K7" s="21" t="n">
        <f aca="false">J7*SOIREE_NB*SOIREE_PART*SOIREE_PCT</f>
        <v>63.75</v>
      </c>
      <c r="L7" s="21" t="n">
        <f aca="false">NB_ACTIFS_MOY*I7+K7</f>
        <v>663.75</v>
      </c>
      <c r="M7" s="24" t="n">
        <f aca="false">NB_ACTIFS_MOY*I7*MONTANT_MOY+K7*SOIREE_MONTANT</f>
        <v>12956.25</v>
      </c>
    </row>
    <row r="8" customFormat="false" ht="15" hidden="false" customHeight="false" outlineLevel="0" collapsed="false">
      <c r="A8" s="7" t="s">
        <v>50</v>
      </c>
      <c r="B8" s="25" t="n">
        <v>4</v>
      </c>
      <c r="C8" s="25" t="n">
        <v>2</v>
      </c>
      <c r="D8" s="26" t="n">
        <f aca="false">B8-C8</f>
        <v>2</v>
      </c>
      <c r="E8" s="27" t="n">
        <v>1</v>
      </c>
      <c r="F8" s="27" t="n">
        <v>1</v>
      </c>
      <c r="G8" s="27" t="n">
        <v>1</v>
      </c>
      <c r="H8" s="28" t="n">
        <f aca="false">AVERAGE(E8:G8)</f>
        <v>1</v>
      </c>
      <c r="I8" s="28" t="n">
        <f aca="false">D8/FREQ_SEM*H8</f>
        <v>1</v>
      </c>
      <c r="J8" s="25" t="n">
        <v>1</v>
      </c>
      <c r="K8" s="26" t="n">
        <f aca="false">J8*SOIREE_NB*SOIREE_PART*SOIREE_PCT</f>
        <v>63.75</v>
      </c>
      <c r="L8" s="26" t="n">
        <f aca="false">NB_ACTIFS_MOY*I8+K8</f>
        <v>363.75</v>
      </c>
      <c r="M8" s="29" t="n">
        <f aca="false">NB_ACTIFS_MOY*I8*MONTANT_MOY+K8*SOIREE_MONTANT</f>
        <v>6956.25</v>
      </c>
    </row>
    <row r="9" customFormat="false" ht="15" hidden="false" customHeight="false" outlineLevel="0" collapsed="false">
      <c r="A9" s="4" t="s">
        <v>51</v>
      </c>
      <c r="B9" s="20" t="n">
        <v>4</v>
      </c>
      <c r="C9" s="20" t="n">
        <v>0</v>
      </c>
      <c r="D9" s="21" t="n">
        <f aca="false">B9-C9</f>
        <v>4</v>
      </c>
      <c r="E9" s="22" t="n">
        <v>1</v>
      </c>
      <c r="F9" s="22" t="n">
        <v>1</v>
      </c>
      <c r="G9" s="22" t="n">
        <v>0</v>
      </c>
      <c r="H9" s="23" t="n">
        <f aca="false">AVERAGE(E9:G9)</f>
        <v>0.666666666666667</v>
      </c>
      <c r="I9" s="23" t="n">
        <f aca="false">D9/FREQ_SEM*H9</f>
        <v>1.33333333333333</v>
      </c>
      <c r="J9" s="20" t="n">
        <v>1</v>
      </c>
      <c r="K9" s="21" t="n">
        <f aca="false">J9*SOIREE_NB*SOIREE_PART*SOIREE_PCT</f>
        <v>63.75</v>
      </c>
      <c r="L9" s="21" t="n">
        <f aca="false">NB_ACTIFS_MOY*I9+K9</f>
        <v>463.75</v>
      </c>
      <c r="M9" s="24" t="n">
        <f aca="false">NB_ACTIFS_MOY*I9*MONTANT_MOY+K9*SOIREE_MONTANT</f>
        <v>8956.25</v>
      </c>
    </row>
    <row r="10" customFormat="false" ht="15" hidden="false" customHeight="false" outlineLevel="0" collapsed="false">
      <c r="A10" s="7" t="s">
        <v>52</v>
      </c>
      <c r="B10" s="25" t="n">
        <v>4</v>
      </c>
      <c r="C10" s="25" t="n">
        <v>2</v>
      </c>
      <c r="D10" s="26" t="n">
        <f aca="false">B10-C10</f>
        <v>2</v>
      </c>
      <c r="E10" s="27" t="n">
        <v>1</v>
      </c>
      <c r="F10" s="27" t="n">
        <v>1</v>
      </c>
      <c r="G10" s="27" t="n">
        <v>0</v>
      </c>
      <c r="H10" s="28" t="n">
        <f aca="false">AVERAGE(E10:G10)</f>
        <v>0.666666666666667</v>
      </c>
      <c r="I10" s="28" t="n">
        <f aca="false">D10/FREQ_SEM*H10</f>
        <v>0.666666666666667</v>
      </c>
      <c r="J10" s="25" t="n">
        <v>1</v>
      </c>
      <c r="K10" s="26" t="n">
        <f aca="false">J10*SOIREE_NB*SOIREE_PART*SOIREE_PCT</f>
        <v>63.75</v>
      </c>
      <c r="L10" s="26" t="n">
        <f aca="false">NB_ACTIFS_MOY*I10+K10</f>
        <v>263.75</v>
      </c>
      <c r="M10" s="29" t="n">
        <f aca="false">NB_ACTIFS_MOY*I10*MONTANT_MOY+K10*SOIREE_MONTANT</f>
        <v>4956.25</v>
      </c>
    </row>
    <row r="11" customFormat="false" ht="15" hidden="false" customHeight="false" outlineLevel="0" collapsed="false">
      <c r="A11" s="4" t="s">
        <v>53</v>
      </c>
      <c r="B11" s="20" t="n">
        <v>4</v>
      </c>
      <c r="C11" s="20" t="n">
        <v>0</v>
      </c>
      <c r="D11" s="21" t="n">
        <f aca="false">B11-C11</f>
        <v>4</v>
      </c>
      <c r="E11" s="22" t="n">
        <v>1</v>
      </c>
      <c r="F11" s="22" t="n">
        <v>1</v>
      </c>
      <c r="G11" s="22" t="n">
        <v>0</v>
      </c>
      <c r="H11" s="23" t="n">
        <f aca="false">AVERAGE(E11:G11)</f>
        <v>0.666666666666667</v>
      </c>
      <c r="I11" s="23" t="n">
        <f aca="false">D11/FREQ_SEM*H11</f>
        <v>1.33333333333333</v>
      </c>
      <c r="J11" s="20" t="n">
        <v>1</v>
      </c>
      <c r="K11" s="21" t="n">
        <f aca="false">J11*SOIREE_NB*SOIREE_PART*SOIREE_PCT</f>
        <v>63.75</v>
      </c>
      <c r="L11" s="21" t="n">
        <f aca="false">NB_ACTIFS_MOY*I11+K11</f>
        <v>463.75</v>
      </c>
      <c r="M11" s="24" t="n">
        <f aca="false">NB_ACTIFS_MOY*I11*MONTANT_MOY+K11*SOIREE_MONTANT</f>
        <v>8956.25</v>
      </c>
    </row>
    <row r="12" customFormat="false" ht="15" hidden="false" customHeight="false" outlineLevel="0" collapsed="false">
      <c r="A12" s="7" t="s">
        <v>54</v>
      </c>
      <c r="B12" s="25" t="n">
        <v>4</v>
      </c>
      <c r="C12" s="25" t="n">
        <v>2</v>
      </c>
      <c r="D12" s="26" t="n">
        <f aca="false">B12-C12</f>
        <v>2</v>
      </c>
      <c r="E12" s="27" t="n">
        <v>1</v>
      </c>
      <c r="F12" s="27" t="n">
        <v>0.5</v>
      </c>
      <c r="G12" s="27" t="n">
        <v>0</v>
      </c>
      <c r="H12" s="28" t="n">
        <f aca="false">AVERAGE(E12:G12)</f>
        <v>0.5</v>
      </c>
      <c r="I12" s="28" t="n">
        <f aca="false">D12/FREQ_SEM*H12</f>
        <v>0.5</v>
      </c>
      <c r="J12" s="25" t="n">
        <v>1</v>
      </c>
      <c r="K12" s="26" t="n">
        <f aca="false">J12*SOIREE_NB*SOIREE_PART*SOIREE_PCT</f>
        <v>63.75</v>
      </c>
      <c r="L12" s="26" t="n">
        <f aca="false">NB_ACTIFS_MOY*I12+K12</f>
        <v>213.75</v>
      </c>
      <c r="M12" s="29" t="n">
        <f aca="false">NB_ACTIFS_MOY*I12*MONTANT_MOY+K12*SOIREE_MONTANT</f>
        <v>3956.25</v>
      </c>
    </row>
    <row r="13" customFormat="false" ht="15" hidden="false" customHeight="false" outlineLevel="0" collapsed="false">
      <c r="A13" s="4" t="s">
        <v>55</v>
      </c>
      <c r="B13" s="20" t="n">
        <v>4</v>
      </c>
      <c r="C13" s="20" t="n">
        <v>0</v>
      </c>
      <c r="D13" s="21" t="n">
        <f aca="false">B13-C13</f>
        <v>4</v>
      </c>
      <c r="E13" s="22" t="n">
        <v>1</v>
      </c>
      <c r="F13" s="22" t="n">
        <v>0</v>
      </c>
      <c r="G13" s="22" t="n">
        <v>0</v>
      </c>
      <c r="H13" s="23" t="n">
        <f aca="false">AVERAGE(E13:G13)</f>
        <v>0.333333333333333</v>
      </c>
      <c r="I13" s="23" t="n">
        <f aca="false">D13/FREQ_SEM*H13</f>
        <v>0.666666666666667</v>
      </c>
      <c r="J13" s="20" t="n">
        <v>1</v>
      </c>
      <c r="K13" s="21" t="n">
        <f aca="false">J13*SOIREE_NB*SOIREE_PART*SOIREE_PCT</f>
        <v>63.75</v>
      </c>
      <c r="L13" s="21" t="n">
        <f aca="false">NB_ACTIFS_MOY*I13+K13</f>
        <v>263.75</v>
      </c>
      <c r="M13" s="24" t="n">
        <f aca="false">NB_ACTIFS_MOY*I13*MONTANT_MOY+K13*SOIREE_MONTANT</f>
        <v>4956.25</v>
      </c>
    </row>
    <row r="14" customFormat="false" ht="15" hidden="false" customHeight="false" outlineLevel="0" collapsed="false">
      <c r="A14" s="7" t="s">
        <v>56</v>
      </c>
      <c r="B14" s="25" t="n">
        <v>4</v>
      </c>
      <c r="C14" s="25" t="n">
        <v>0</v>
      </c>
      <c r="D14" s="26" t="n">
        <f aca="false">B14-C14</f>
        <v>4</v>
      </c>
      <c r="E14" s="27" t="n">
        <v>0</v>
      </c>
      <c r="F14" s="27" t="n">
        <v>0</v>
      </c>
      <c r="G14" s="27" t="n">
        <v>0</v>
      </c>
      <c r="H14" s="28" t="n">
        <f aca="false">AVERAGE(E14:G14)</f>
        <v>0</v>
      </c>
      <c r="I14" s="28" t="n">
        <f aca="false">D14/FREQ_SEM*H14</f>
        <v>0</v>
      </c>
      <c r="J14" s="25" t="n">
        <v>0</v>
      </c>
      <c r="K14" s="26" t="n">
        <f aca="false">J14*SOIREE_NB*SOIREE_PART*SOIREE_PCT</f>
        <v>0</v>
      </c>
      <c r="L14" s="26" t="n">
        <f aca="false">NB_ACTIFS_MOY*I14+K14</f>
        <v>0</v>
      </c>
      <c r="M14" s="29" t="n">
        <f aca="false">NB_ACTIFS_MOY*I14*MONTANT_MOY+K14*SOIREE_MONTANT</f>
        <v>0</v>
      </c>
    </row>
    <row r="15" customFormat="false" ht="15" hidden="false" customHeight="false" outlineLevel="0" collapsed="false">
      <c r="A15" s="4" t="s">
        <v>57</v>
      </c>
      <c r="B15" s="20" t="n">
        <v>4</v>
      </c>
      <c r="C15" s="20" t="n">
        <v>0</v>
      </c>
      <c r="D15" s="21" t="n">
        <f aca="false">B15-C15</f>
        <v>4</v>
      </c>
      <c r="E15" s="22" t="n">
        <v>0</v>
      </c>
      <c r="F15" s="22" t="n">
        <v>0</v>
      </c>
      <c r="G15" s="22" t="n">
        <v>0</v>
      </c>
      <c r="H15" s="23" t="n">
        <f aca="false">AVERAGE(E15:G15)</f>
        <v>0</v>
      </c>
      <c r="I15" s="23" t="n">
        <f aca="false">D15/FREQ_SEM*H15</f>
        <v>0</v>
      </c>
      <c r="J15" s="20" t="n">
        <v>0</v>
      </c>
      <c r="K15" s="21" t="n">
        <f aca="false">J15*SOIREE_NB*SOIREE_PART*SOIREE_PCT</f>
        <v>0</v>
      </c>
      <c r="L15" s="21" t="n">
        <f aca="false">NB_ACTIFS_MOY*I15+K15</f>
        <v>0</v>
      </c>
      <c r="M15" s="24" t="n">
        <f aca="false">NB_ACTIFS_MOY*I15*MONTANT_MOY+K15*SOIREE_MONTANT</f>
        <v>0</v>
      </c>
    </row>
    <row r="16" customFormat="false" ht="15" hidden="false" customHeight="false" outlineLevel="0" collapsed="false">
      <c r="A16" s="7" t="s">
        <v>58</v>
      </c>
      <c r="B16" s="25" t="n">
        <v>4</v>
      </c>
      <c r="C16" s="25" t="n">
        <v>0</v>
      </c>
      <c r="D16" s="26" t="n">
        <f aca="false">B16-C16</f>
        <v>4</v>
      </c>
      <c r="E16" s="27" t="n">
        <v>0</v>
      </c>
      <c r="F16" s="27" t="n">
        <v>0</v>
      </c>
      <c r="G16" s="27" t="n">
        <v>0</v>
      </c>
      <c r="H16" s="28" t="n">
        <f aca="false">AVERAGE(E16:G16)</f>
        <v>0</v>
      </c>
      <c r="I16" s="28" t="n">
        <f aca="false">D16/FREQ_SEM*H16</f>
        <v>0</v>
      </c>
      <c r="J16" s="25" t="n">
        <v>0</v>
      </c>
      <c r="K16" s="26" t="n">
        <f aca="false">J16*SOIREE_NB*SOIREE_PART*SOIREE_PCT</f>
        <v>0</v>
      </c>
      <c r="L16" s="26" t="n">
        <f aca="false">NB_ACTIFS_MOY*I16+K16</f>
        <v>0</v>
      </c>
      <c r="M16" s="29" t="n">
        <f aca="false">NB_ACTIFS_MOY*I16*MONTANT_MOY+K16*SOIREE_MONTANT</f>
        <v>0</v>
      </c>
    </row>
    <row r="17" customFormat="false" ht="15" hidden="false" customHeight="false" outlineLevel="0" collapsed="false">
      <c r="A17" s="30" t="s">
        <v>59</v>
      </c>
      <c r="B17" s="31"/>
      <c r="C17" s="31"/>
      <c r="D17" s="31"/>
      <c r="E17" s="31"/>
      <c r="F17" s="31"/>
      <c r="G17" s="31"/>
      <c r="H17" s="31"/>
      <c r="I17" s="32" t="n">
        <f aca="false">SUM(I5:I16)</f>
        <v>11</v>
      </c>
      <c r="J17" s="31"/>
      <c r="K17" s="33" t="n">
        <f aca="false">SUM(K5:K16)</f>
        <v>573.75</v>
      </c>
      <c r="L17" s="33" t="n">
        <f aca="false">SUM(L5:L16)</f>
        <v>3873.75</v>
      </c>
      <c r="M17" s="34" t="n">
        <f aca="false">SUM(M5:M16)</f>
        <v>74606.25</v>
      </c>
    </row>
  </sheetData>
  <sheetProtection sheet="true" formatCells="fals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11" min="4" style="0" width="14"/>
  </cols>
  <sheetData>
    <row r="1" customFormat="false" ht="16.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15" t="s">
        <v>61</v>
      </c>
    </row>
    <row r="4" customFormat="false" ht="23.85" hidden="false" customHeight="false" outlineLevel="0" collapsed="false">
      <c r="A4" s="3" t="s">
        <v>34</v>
      </c>
      <c r="B4" s="3" t="s">
        <v>62</v>
      </c>
      <c r="C4" s="3" t="s">
        <v>63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customFormat="false" ht="15" hidden="false" customHeight="false" outlineLevel="0" collapsed="false">
      <c r="A5" s="35" t="str">
        <f aca="false">Calendrier!A5</f>
        <v>Septembre</v>
      </c>
      <c r="B5" s="36" t="n">
        <f aca="false">Calendrier!L5</f>
        <v>663.75</v>
      </c>
      <c r="C5" s="37" t="n">
        <f aca="false">Calendrier!M5</f>
        <v>12956.25</v>
      </c>
      <c r="D5" s="38" t="n">
        <f aca="false">$C5*STRIPE_PCT+$B5*STRIPE_FIX+STRIPE_ABO+STRIPE_ENT/12</f>
        <v>360.28125</v>
      </c>
      <c r="E5" s="38" t="n">
        <f aca="false">$C5*PAYPLUG_PCT+$B5*PAYPLUG_FIX+PAYPLUG_ABO+PAYPLUG_ENT/12</f>
        <v>338.45625</v>
      </c>
      <c r="F5" s="38" t="n">
        <f aca="false">$C5*LYRA_PCT+$B5*LYRA_FIX+LYRA_ABO+LYRA_ENT/12</f>
        <v>362.3875</v>
      </c>
      <c r="G5" s="38" t="n">
        <f aca="false">$C5*MONETICO1_PCT+$B5*MONETICO1_FIX+MONETICO1_ABO+MONETICO1_ENT/12</f>
        <v>64.78125</v>
      </c>
      <c r="H5" s="38" t="n">
        <f aca="false">$C5*MONETICO2_PCT+$B5*MONETICO2_FIX+MONETICO2_ABO+MONETICO2_ENT/12</f>
        <v>84.78125</v>
      </c>
      <c r="I5" s="38" t="n">
        <f aca="false">$C5*SOGEL_PCT+$B5*SOGEL_FIX+SOGEL_ABO+SOGEL_ENT/12</f>
        <v>89.1145833333333</v>
      </c>
      <c r="J5" s="38" t="n">
        <f aca="false">$C5*SOGEC_PCT+$B5*SOGEC_FIX+SOGEC_ABO+SOGEC_ENT/12</f>
        <v>122.78125</v>
      </c>
      <c r="K5" s="38" t="n">
        <f aca="false">$C5*HELLO_PCT+$B5*HELLO_FIX+HELLO_ABO+HELLO_ENT/12</f>
        <v>0</v>
      </c>
    </row>
    <row r="6" customFormat="false" ht="15" hidden="false" customHeight="false" outlineLevel="0" collapsed="false">
      <c r="A6" s="39" t="str">
        <f aca="false">Calendrier!A6</f>
        <v>Octobre</v>
      </c>
      <c r="B6" s="40" t="n">
        <f aca="false">Calendrier!L6</f>
        <v>513.75</v>
      </c>
      <c r="C6" s="41" t="n">
        <f aca="false">Calendrier!M6</f>
        <v>9956.25</v>
      </c>
      <c r="D6" s="42" t="n">
        <f aca="false">$C6*STRIPE_PCT+$B6*STRIPE_FIX+STRIPE_ABO+STRIPE_ENT/12</f>
        <v>277.78125</v>
      </c>
      <c r="E6" s="42" t="n">
        <f aca="false">$C6*PAYPLUG_PCT+$B6*PAYPLUG_FIX+PAYPLUG_ABO+PAYPLUG_ENT/12</f>
        <v>267.95625</v>
      </c>
      <c r="F6" s="42" t="n">
        <f aca="false">$C6*LYRA_PCT+$B6*LYRA_FIX+LYRA_ABO+LYRA_ENT/12</f>
        <v>290.3875</v>
      </c>
      <c r="G6" s="42" t="n">
        <f aca="false">$C6*MONETICO1_PCT+$B6*MONETICO1_FIX+MONETICO1_ABO+MONETICO1_ENT/12</f>
        <v>49.78125</v>
      </c>
      <c r="H6" s="42" t="n">
        <f aca="false">$C6*MONETICO2_PCT+$B6*MONETICO2_FIX+MONETICO2_ABO+MONETICO2_ENT/12</f>
        <v>69.78125</v>
      </c>
      <c r="I6" s="42" t="n">
        <f aca="false">$C6*SOGEL_PCT+$B6*SOGEL_FIX+SOGEL_ABO+SOGEL_ENT/12</f>
        <v>74.1145833333333</v>
      </c>
      <c r="J6" s="42" t="n">
        <f aca="false">$C6*SOGEC_PCT+$B6*SOGEC_FIX+SOGEC_ABO+SOGEC_ENT/12</f>
        <v>107.78125</v>
      </c>
      <c r="K6" s="42" t="n">
        <f aca="false">$C6*HELLO_PCT+$B6*HELLO_FIX+HELLO_ABO+HELLO_ENT/12</f>
        <v>0</v>
      </c>
    </row>
    <row r="7" customFormat="false" ht="15" hidden="false" customHeight="false" outlineLevel="0" collapsed="false">
      <c r="A7" s="35" t="str">
        <f aca="false">Calendrier!A7</f>
        <v>Novembre</v>
      </c>
      <c r="B7" s="36" t="n">
        <f aca="false">Calendrier!L7</f>
        <v>663.75</v>
      </c>
      <c r="C7" s="37" t="n">
        <f aca="false">Calendrier!M7</f>
        <v>12956.25</v>
      </c>
      <c r="D7" s="38" t="n">
        <f aca="false">$C7*STRIPE_PCT+$B7*STRIPE_FIX+STRIPE_ABO+STRIPE_ENT/12</f>
        <v>360.28125</v>
      </c>
      <c r="E7" s="38" t="n">
        <f aca="false">$C7*PAYPLUG_PCT+$B7*PAYPLUG_FIX+PAYPLUG_ABO+PAYPLUG_ENT/12</f>
        <v>338.45625</v>
      </c>
      <c r="F7" s="38" t="n">
        <f aca="false">$C7*LYRA_PCT+$B7*LYRA_FIX+LYRA_ABO+LYRA_ENT/12</f>
        <v>362.3875</v>
      </c>
      <c r="G7" s="38" t="n">
        <f aca="false">$C7*MONETICO1_PCT+$B7*MONETICO1_FIX+MONETICO1_ABO+MONETICO1_ENT/12</f>
        <v>64.78125</v>
      </c>
      <c r="H7" s="38" t="n">
        <f aca="false">$C7*MONETICO2_PCT+$B7*MONETICO2_FIX+MONETICO2_ABO+MONETICO2_ENT/12</f>
        <v>84.78125</v>
      </c>
      <c r="I7" s="38" t="n">
        <f aca="false">$C7*SOGEL_PCT+$B7*SOGEL_FIX+SOGEL_ABO+SOGEL_ENT/12</f>
        <v>89.1145833333333</v>
      </c>
      <c r="J7" s="38" t="n">
        <f aca="false">$C7*SOGEC_PCT+$B7*SOGEC_FIX+SOGEC_ABO+SOGEC_ENT/12</f>
        <v>122.78125</v>
      </c>
      <c r="K7" s="38" t="n">
        <f aca="false">$C7*HELLO_PCT+$B7*HELLO_FIX+HELLO_ABO+HELLO_ENT/12</f>
        <v>0</v>
      </c>
    </row>
    <row r="8" customFormat="false" ht="15" hidden="false" customHeight="false" outlineLevel="0" collapsed="false">
      <c r="A8" s="39" t="str">
        <f aca="false">Calendrier!A8</f>
        <v>Décembre</v>
      </c>
      <c r="B8" s="40" t="n">
        <f aca="false">Calendrier!L8</f>
        <v>363.75</v>
      </c>
      <c r="C8" s="41" t="n">
        <f aca="false">Calendrier!M8</f>
        <v>6956.25</v>
      </c>
      <c r="D8" s="42" t="n">
        <f aca="false">$C8*STRIPE_PCT+$B8*STRIPE_FIX+STRIPE_ABO+STRIPE_ENT/12</f>
        <v>195.28125</v>
      </c>
      <c r="E8" s="42" t="n">
        <f aca="false">$C8*PAYPLUG_PCT+$B8*PAYPLUG_FIX+PAYPLUG_ABO+PAYPLUG_ENT/12</f>
        <v>197.45625</v>
      </c>
      <c r="F8" s="42" t="n">
        <f aca="false">$C8*LYRA_PCT+$B8*LYRA_FIX+LYRA_ABO+LYRA_ENT/12</f>
        <v>218.3875</v>
      </c>
      <c r="G8" s="42" t="n">
        <f aca="false">$C8*MONETICO1_PCT+$B8*MONETICO1_FIX+MONETICO1_ABO+MONETICO1_ENT/12</f>
        <v>34.78125</v>
      </c>
      <c r="H8" s="42" t="n">
        <f aca="false">$C8*MONETICO2_PCT+$B8*MONETICO2_FIX+MONETICO2_ABO+MONETICO2_ENT/12</f>
        <v>54.78125</v>
      </c>
      <c r="I8" s="42" t="n">
        <f aca="false">$C8*SOGEL_PCT+$B8*SOGEL_FIX+SOGEL_ABO+SOGEL_ENT/12</f>
        <v>59.1145833333333</v>
      </c>
      <c r="J8" s="42" t="n">
        <f aca="false">$C8*SOGEC_PCT+$B8*SOGEC_FIX+SOGEC_ABO+SOGEC_ENT/12</f>
        <v>92.78125</v>
      </c>
      <c r="K8" s="42" t="n">
        <f aca="false">$C8*HELLO_PCT+$B8*HELLO_FIX+HELLO_ABO+HELLO_ENT/12</f>
        <v>0</v>
      </c>
    </row>
    <row r="9" customFormat="false" ht="15" hidden="false" customHeight="false" outlineLevel="0" collapsed="false">
      <c r="A9" s="35" t="str">
        <f aca="false">Calendrier!A9</f>
        <v>Janvier</v>
      </c>
      <c r="B9" s="36" t="n">
        <f aca="false">Calendrier!L9</f>
        <v>463.75</v>
      </c>
      <c r="C9" s="37" t="n">
        <f aca="false">Calendrier!M9</f>
        <v>8956.25</v>
      </c>
      <c r="D9" s="38" t="n">
        <f aca="false">$C9*STRIPE_PCT+$B9*STRIPE_FIX+STRIPE_ABO+STRIPE_ENT/12</f>
        <v>250.28125</v>
      </c>
      <c r="E9" s="38" t="n">
        <f aca="false">$C9*PAYPLUG_PCT+$B9*PAYPLUG_FIX+PAYPLUG_ABO+PAYPLUG_ENT/12</f>
        <v>244.45625</v>
      </c>
      <c r="F9" s="38" t="n">
        <f aca="false">$C9*LYRA_PCT+$B9*LYRA_FIX+LYRA_ABO+LYRA_ENT/12</f>
        <v>266.3875</v>
      </c>
      <c r="G9" s="38" t="n">
        <f aca="false">$C9*MONETICO1_PCT+$B9*MONETICO1_FIX+MONETICO1_ABO+MONETICO1_ENT/12</f>
        <v>44.78125</v>
      </c>
      <c r="H9" s="38" t="n">
        <f aca="false">$C9*MONETICO2_PCT+$B9*MONETICO2_FIX+MONETICO2_ABO+MONETICO2_ENT/12</f>
        <v>64.78125</v>
      </c>
      <c r="I9" s="38" t="n">
        <f aca="false">$C9*SOGEL_PCT+$B9*SOGEL_FIX+SOGEL_ABO+SOGEL_ENT/12</f>
        <v>69.1145833333333</v>
      </c>
      <c r="J9" s="38" t="n">
        <f aca="false">$C9*SOGEC_PCT+$B9*SOGEC_FIX+SOGEC_ABO+SOGEC_ENT/12</f>
        <v>102.78125</v>
      </c>
      <c r="K9" s="38" t="n">
        <f aca="false">$C9*HELLO_PCT+$B9*HELLO_FIX+HELLO_ABO+HELLO_ENT/12</f>
        <v>0</v>
      </c>
    </row>
    <row r="10" customFormat="false" ht="15" hidden="false" customHeight="false" outlineLevel="0" collapsed="false">
      <c r="A10" s="39" t="str">
        <f aca="false">Calendrier!A10</f>
        <v>Février</v>
      </c>
      <c r="B10" s="40" t="n">
        <f aca="false">Calendrier!L10</f>
        <v>263.75</v>
      </c>
      <c r="C10" s="41" t="n">
        <f aca="false">Calendrier!M10</f>
        <v>4956.25</v>
      </c>
      <c r="D10" s="42" t="n">
        <f aca="false">$C10*STRIPE_PCT+$B10*STRIPE_FIX+STRIPE_ABO+STRIPE_ENT/12</f>
        <v>140.28125</v>
      </c>
      <c r="E10" s="42" t="n">
        <f aca="false">$C10*PAYPLUG_PCT+$B10*PAYPLUG_FIX+PAYPLUG_ABO+PAYPLUG_ENT/12</f>
        <v>150.45625</v>
      </c>
      <c r="F10" s="42" t="n">
        <f aca="false">$C10*LYRA_PCT+$B10*LYRA_FIX+LYRA_ABO+LYRA_ENT/12</f>
        <v>170.3875</v>
      </c>
      <c r="G10" s="42" t="n">
        <f aca="false">$C10*MONETICO1_PCT+$B10*MONETICO1_FIX+MONETICO1_ABO+MONETICO1_ENT/12</f>
        <v>24.78125</v>
      </c>
      <c r="H10" s="42" t="n">
        <f aca="false">$C10*MONETICO2_PCT+$B10*MONETICO2_FIX+MONETICO2_ABO+MONETICO2_ENT/12</f>
        <v>44.78125</v>
      </c>
      <c r="I10" s="42" t="n">
        <f aca="false">$C10*SOGEL_PCT+$B10*SOGEL_FIX+SOGEL_ABO+SOGEL_ENT/12</f>
        <v>49.1145833333333</v>
      </c>
      <c r="J10" s="42" t="n">
        <f aca="false">$C10*SOGEC_PCT+$B10*SOGEC_FIX+SOGEC_ABO+SOGEC_ENT/12</f>
        <v>82.78125</v>
      </c>
      <c r="K10" s="42" t="n">
        <f aca="false">$C10*HELLO_PCT+$B10*HELLO_FIX+HELLO_ABO+HELLO_ENT/12</f>
        <v>0</v>
      </c>
    </row>
    <row r="11" customFormat="false" ht="15" hidden="false" customHeight="false" outlineLevel="0" collapsed="false">
      <c r="A11" s="35" t="str">
        <f aca="false">Calendrier!A11</f>
        <v>Mars</v>
      </c>
      <c r="B11" s="36" t="n">
        <f aca="false">Calendrier!L11</f>
        <v>463.75</v>
      </c>
      <c r="C11" s="37" t="n">
        <f aca="false">Calendrier!M11</f>
        <v>8956.25</v>
      </c>
      <c r="D11" s="38" t="n">
        <f aca="false">$C11*STRIPE_PCT+$B11*STRIPE_FIX+STRIPE_ABO+STRIPE_ENT/12</f>
        <v>250.28125</v>
      </c>
      <c r="E11" s="38" t="n">
        <f aca="false">$C11*PAYPLUG_PCT+$B11*PAYPLUG_FIX+PAYPLUG_ABO+PAYPLUG_ENT/12</f>
        <v>244.45625</v>
      </c>
      <c r="F11" s="38" t="n">
        <f aca="false">$C11*LYRA_PCT+$B11*LYRA_FIX+LYRA_ABO+LYRA_ENT/12</f>
        <v>266.3875</v>
      </c>
      <c r="G11" s="38" t="n">
        <f aca="false">$C11*MONETICO1_PCT+$B11*MONETICO1_FIX+MONETICO1_ABO+MONETICO1_ENT/12</f>
        <v>44.78125</v>
      </c>
      <c r="H11" s="38" t="n">
        <f aca="false">$C11*MONETICO2_PCT+$B11*MONETICO2_FIX+MONETICO2_ABO+MONETICO2_ENT/12</f>
        <v>64.78125</v>
      </c>
      <c r="I11" s="38" t="n">
        <f aca="false">$C11*SOGEL_PCT+$B11*SOGEL_FIX+SOGEL_ABO+SOGEL_ENT/12</f>
        <v>69.1145833333333</v>
      </c>
      <c r="J11" s="38" t="n">
        <f aca="false">$C11*SOGEC_PCT+$B11*SOGEC_FIX+SOGEC_ABO+SOGEC_ENT/12</f>
        <v>102.78125</v>
      </c>
      <c r="K11" s="38" t="n">
        <f aca="false">$C11*HELLO_PCT+$B11*HELLO_FIX+HELLO_ABO+HELLO_ENT/12</f>
        <v>0</v>
      </c>
    </row>
    <row r="12" customFormat="false" ht="15" hidden="false" customHeight="false" outlineLevel="0" collapsed="false">
      <c r="A12" s="39" t="str">
        <f aca="false">Calendrier!A12</f>
        <v>Avril</v>
      </c>
      <c r="B12" s="40" t="n">
        <f aca="false">Calendrier!L12</f>
        <v>213.75</v>
      </c>
      <c r="C12" s="41" t="n">
        <f aca="false">Calendrier!M12</f>
        <v>3956.25</v>
      </c>
      <c r="D12" s="42" t="n">
        <f aca="false">$C12*STRIPE_PCT+$B12*STRIPE_FIX+STRIPE_ABO+STRIPE_ENT/12</f>
        <v>112.78125</v>
      </c>
      <c r="E12" s="42" t="n">
        <f aca="false">$C12*PAYPLUG_PCT+$B12*PAYPLUG_FIX+PAYPLUG_ABO+PAYPLUG_ENT/12</f>
        <v>126.95625</v>
      </c>
      <c r="F12" s="42" t="n">
        <f aca="false">$C12*LYRA_PCT+$B12*LYRA_FIX+LYRA_ABO+LYRA_ENT/12</f>
        <v>146.3875</v>
      </c>
      <c r="G12" s="42" t="n">
        <f aca="false">$C12*MONETICO1_PCT+$B12*MONETICO1_FIX+MONETICO1_ABO+MONETICO1_ENT/12</f>
        <v>19.78125</v>
      </c>
      <c r="H12" s="42" t="n">
        <f aca="false">$C12*MONETICO2_PCT+$B12*MONETICO2_FIX+MONETICO2_ABO+MONETICO2_ENT/12</f>
        <v>39.78125</v>
      </c>
      <c r="I12" s="42" t="n">
        <f aca="false">$C12*SOGEL_PCT+$B12*SOGEL_FIX+SOGEL_ABO+SOGEL_ENT/12</f>
        <v>44.1145833333333</v>
      </c>
      <c r="J12" s="42" t="n">
        <f aca="false">$C12*SOGEC_PCT+$B12*SOGEC_FIX+SOGEC_ABO+SOGEC_ENT/12</f>
        <v>77.78125</v>
      </c>
      <c r="K12" s="42" t="n">
        <f aca="false">$C12*HELLO_PCT+$B12*HELLO_FIX+HELLO_ABO+HELLO_ENT/12</f>
        <v>0</v>
      </c>
    </row>
    <row r="13" customFormat="false" ht="15" hidden="false" customHeight="false" outlineLevel="0" collapsed="false">
      <c r="A13" s="35" t="str">
        <f aca="false">Calendrier!A13</f>
        <v>Mai</v>
      </c>
      <c r="B13" s="36" t="n">
        <f aca="false">Calendrier!L13</f>
        <v>263.75</v>
      </c>
      <c r="C13" s="37" t="n">
        <f aca="false">Calendrier!M13</f>
        <v>4956.25</v>
      </c>
      <c r="D13" s="38" t="n">
        <f aca="false">$C13*STRIPE_PCT+$B13*STRIPE_FIX+STRIPE_ABO+STRIPE_ENT/12</f>
        <v>140.28125</v>
      </c>
      <c r="E13" s="38" t="n">
        <f aca="false">$C13*PAYPLUG_PCT+$B13*PAYPLUG_FIX+PAYPLUG_ABO+PAYPLUG_ENT/12</f>
        <v>150.45625</v>
      </c>
      <c r="F13" s="38" t="n">
        <f aca="false">$C13*LYRA_PCT+$B13*LYRA_FIX+LYRA_ABO+LYRA_ENT/12</f>
        <v>170.3875</v>
      </c>
      <c r="G13" s="38" t="n">
        <f aca="false">$C13*MONETICO1_PCT+$B13*MONETICO1_FIX+MONETICO1_ABO+MONETICO1_ENT/12</f>
        <v>24.78125</v>
      </c>
      <c r="H13" s="38" t="n">
        <f aca="false">$C13*MONETICO2_PCT+$B13*MONETICO2_FIX+MONETICO2_ABO+MONETICO2_ENT/12</f>
        <v>44.78125</v>
      </c>
      <c r="I13" s="38" t="n">
        <f aca="false">$C13*SOGEL_PCT+$B13*SOGEL_FIX+SOGEL_ABO+SOGEL_ENT/12</f>
        <v>49.1145833333333</v>
      </c>
      <c r="J13" s="38" t="n">
        <f aca="false">$C13*SOGEC_PCT+$B13*SOGEC_FIX+SOGEC_ABO+SOGEC_ENT/12</f>
        <v>82.78125</v>
      </c>
      <c r="K13" s="38" t="n">
        <f aca="false">$C13*HELLO_PCT+$B13*HELLO_FIX+HELLO_ABO+HELLO_ENT/12</f>
        <v>0</v>
      </c>
    </row>
    <row r="14" customFormat="false" ht="15" hidden="false" customHeight="false" outlineLevel="0" collapsed="false">
      <c r="A14" s="39" t="str">
        <f aca="false">Calendrier!A14</f>
        <v>Juin</v>
      </c>
      <c r="B14" s="40" t="n">
        <f aca="false">Calendrier!L14</f>
        <v>0</v>
      </c>
      <c r="C14" s="41" t="n">
        <f aca="false">Calendrier!M14</f>
        <v>0</v>
      </c>
      <c r="D14" s="42" t="n">
        <f aca="false">$C14*STRIPE_PCT+$B14*STRIPE_FIX+STRIPE_ABO+STRIPE_ENT/12</f>
        <v>0</v>
      </c>
      <c r="E14" s="42" t="n">
        <f aca="false">$C14*PAYPLUG_PCT+$B14*PAYPLUG_FIX+PAYPLUG_ABO+PAYPLUG_ENT/12</f>
        <v>30</v>
      </c>
      <c r="F14" s="42" t="n">
        <f aca="false">$C14*LYRA_PCT+$B14*LYRA_FIX+LYRA_ABO+LYRA_ENT/12</f>
        <v>48.25</v>
      </c>
      <c r="G14" s="42" t="n">
        <f aca="false">$C14*MONETICO1_PCT+$B14*MONETICO1_FIX+MONETICO1_ABO+MONETICO1_ENT/12</f>
        <v>0</v>
      </c>
      <c r="H14" s="42" t="n">
        <f aca="false">$C14*MONETICO2_PCT+$B14*MONETICO2_FIX+MONETICO2_ABO+MONETICO2_ENT/12</f>
        <v>20</v>
      </c>
      <c r="I14" s="42" t="n">
        <f aca="false">$C14*SOGEL_PCT+$B14*SOGEL_FIX+SOGEL_ABO+SOGEL_ENT/12</f>
        <v>24.3333333333333</v>
      </c>
      <c r="J14" s="42" t="n">
        <f aca="false">$C14*SOGEC_PCT+$B14*SOGEC_FIX+SOGEC_ABO+SOGEC_ENT/12</f>
        <v>58</v>
      </c>
      <c r="K14" s="42" t="n">
        <f aca="false">$C14*HELLO_PCT+$B14*HELLO_FIX+HELLO_ABO+HELLO_ENT/12</f>
        <v>0</v>
      </c>
    </row>
    <row r="15" customFormat="false" ht="15" hidden="false" customHeight="false" outlineLevel="0" collapsed="false">
      <c r="A15" s="35" t="str">
        <f aca="false">Calendrier!A15</f>
        <v>Juillet</v>
      </c>
      <c r="B15" s="36" t="n">
        <f aca="false">Calendrier!L15</f>
        <v>0</v>
      </c>
      <c r="C15" s="37" t="n">
        <f aca="false">Calendrier!M15</f>
        <v>0</v>
      </c>
      <c r="D15" s="38" t="n">
        <f aca="false">$C15*STRIPE_PCT+$B15*STRIPE_FIX+STRIPE_ABO+STRIPE_ENT/12</f>
        <v>0</v>
      </c>
      <c r="E15" s="38" t="n">
        <f aca="false">$C15*PAYPLUG_PCT+$B15*PAYPLUG_FIX+PAYPLUG_ABO+PAYPLUG_ENT/12</f>
        <v>30</v>
      </c>
      <c r="F15" s="38" t="n">
        <f aca="false">$C15*LYRA_PCT+$B15*LYRA_FIX+LYRA_ABO+LYRA_ENT/12</f>
        <v>48.25</v>
      </c>
      <c r="G15" s="38" t="n">
        <f aca="false">$C15*MONETICO1_PCT+$B15*MONETICO1_FIX+MONETICO1_ABO+MONETICO1_ENT/12</f>
        <v>0</v>
      </c>
      <c r="H15" s="38" t="n">
        <f aca="false">$C15*MONETICO2_PCT+$B15*MONETICO2_FIX+MONETICO2_ABO+MONETICO2_ENT/12</f>
        <v>20</v>
      </c>
      <c r="I15" s="38" t="n">
        <f aca="false">$C15*SOGEL_PCT+$B15*SOGEL_FIX+SOGEL_ABO+SOGEL_ENT/12</f>
        <v>24.3333333333333</v>
      </c>
      <c r="J15" s="38" t="n">
        <f aca="false">$C15*SOGEC_PCT+$B15*SOGEC_FIX+SOGEC_ABO+SOGEC_ENT/12</f>
        <v>58</v>
      </c>
      <c r="K15" s="38" t="n">
        <f aca="false">$C15*HELLO_PCT+$B15*HELLO_FIX+HELLO_ABO+HELLO_ENT/12</f>
        <v>0</v>
      </c>
    </row>
    <row r="16" customFormat="false" ht="15" hidden="false" customHeight="false" outlineLevel="0" collapsed="false">
      <c r="A16" s="39" t="str">
        <f aca="false">Calendrier!A16</f>
        <v>Août</v>
      </c>
      <c r="B16" s="40" t="n">
        <f aca="false">Calendrier!L16</f>
        <v>0</v>
      </c>
      <c r="C16" s="41" t="n">
        <f aca="false">Calendrier!M16</f>
        <v>0</v>
      </c>
      <c r="D16" s="42" t="n">
        <f aca="false">$C16*STRIPE_PCT+$B16*STRIPE_FIX+STRIPE_ABO+STRIPE_ENT/12</f>
        <v>0</v>
      </c>
      <c r="E16" s="42" t="n">
        <f aca="false">$C16*PAYPLUG_PCT+$B16*PAYPLUG_FIX+PAYPLUG_ABO+PAYPLUG_ENT/12</f>
        <v>30</v>
      </c>
      <c r="F16" s="42" t="n">
        <f aca="false">$C16*LYRA_PCT+$B16*LYRA_FIX+LYRA_ABO+LYRA_ENT/12</f>
        <v>48.25</v>
      </c>
      <c r="G16" s="42" t="n">
        <f aca="false">$C16*MONETICO1_PCT+$B16*MONETICO1_FIX+MONETICO1_ABO+MONETICO1_ENT/12</f>
        <v>0</v>
      </c>
      <c r="H16" s="42" t="n">
        <f aca="false">$C16*MONETICO2_PCT+$B16*MONETICO2_FIX+MONETICO2_ABO+MONETICO2_ENT/12</f>
        <v>20</v>
      </c>
      <c r="I16" s="42" t="n">
        <f aca="false">$C16*SOGEL_PCT+$B16*SOGEL_FIX+SOGEL_ABO+SOGEL_ENT/12</f>
        <v>24.3333333333333</v>
      </c>
      <c r="J16" s="42" t="n">
        <f aca="false">$C16*SOGEC_PCT+$B16*SOGEC_FIX+SOGEC_ABO+SOGEC_ENT/12</f>
        <v>58</v>
      </c>
      <c r="K16" s="42" t="n">
        <f aca="false">$C16*HELLO_PCT+$B16*HELLO_FIX+HELLO_ABO+HELLO_ENT/12</f>
        <v>0</v>
      </c>
    </row>
    <row r="17" customFormat="false" ht="15" hidden="false" customHeight="false" outlineLevel="0" collapsed="false">
      <c r="A17" s="30" t="s">
        <v>64</v>
      </c>
      <c r="B17" s="33" t="n">
        <f aca="false">SUM(B5:B16)</f>
        <v>3873.75</v>
      </c>
      <c r="C17" s="34" t="n">
        <f aca="false">SUM(C5:C16)</f>
        <v>74606.25</v>
      </c>
      <c r="D17" s="43" t="n">
        <f aca="false">SUM(D5:D16)</f>
        <v>2087.53125</v>
      </c>
      <c r="E17" s="43" t="n">
        <f aca="false">SUM(E5:E16)</f>
        <v>2149.10625</v>
      </c>
      <c r="F17" s="43" t="n">
        <f aca="false">SUM(F5:F16)</f>
        <v>2398.2375</v>
      </c>
      <c r="G17" s="43" t="n">
        <f aca="false">SUM(G5:G16)</f>
        <v>373.03125</v>
      </c>
      <c r="H17" s="43" t="n">
        <f aca="false">SUM(H5:H16)</f>
        <v>613.03125</v>
      </c>
      <c r="I17" s="43" t="n">
        <f aca="false">SUM(I5:I16)</f>
        <v>665.03125</v>
      </c>
      <c r="J17" s="43" t="n">
        <f aca="false">SUM(J5:J16)</f>
        <v>1069.03125</v>
      </c>
      <c r="K17" s="43" t="n">
        <f aca="false">SUM(K5:K16)</f>
        <v>0</v>
      </c>
    </row>
    <row r="18" customFormat="false" ht="15" hidden="false" customHeight="false" outlineLevel="0" collapsed="false">
      <c r="A18" s="30" t="s">
        <v>65</v>
      </c>
      <c r="B18" s="31"/>
      <c r="C18" s="31"/>
      <c r="D18" s="43" t="n">
        <f aca="false">D17*(1+TVA)</f>
        <v>2505.0375</v>
      </c>
      <c r="E18" s="43" t="n">
        <f aca="false">E17*(1+TVA)</f>
        <v>2578.9275</v>
      </c>
      <c r="F18" s="43" t="n">
        <f aca="false">F17*(1+TVA)</f>
        <v>2877.885</v>
      </c>
      <c r="G18" s="43" t="n">
        <f aca="false">G17*(1+TVA)</f>
        <v>447.6375</v>
      </c>
      <c r="H18" s="43" t="n">
        <f aca="false">H17*(1+TVA)</f>
        <v>735.6375</v>
      </c>
      <c r="I18" s="43" t="n">
        <f aca="false">I17*(1+TVA)</f>
        <v>798.0375</v>
      </c>
      <c r="J18" s="43" t="n">
        <f aca="false">J17*(1+TVA)</f>
        <v>1282.8375</v>
      </c>
      <c r="K18" s="43" t="n">
        <f aca="false">K17*(1+TVA)</f>
        <v>0</v>
      </c>
    </row>
    <row r="21" customFormat="false" ht="15" hidden="false" customHeight="false" outlineLevel="0" collapsed="false">
      <c r="A21" s="2" t="s">
        <v>66</v>
      </c>
    </row>
    <row r="22" customFormat="false" ht="23.85" hidden="false" customHeight="false" outlineLevel="0" collapsed="false">
      <c r="A22" s="3" t="s">
        <v>67</v>
      </c>
      <c r="B22" s="3" t="s">
        <v>24</v>
      </c>
      <c r="C22" s="3" t="s">
        <v>25</v>
      </c>
      <c r="D22" s="3" t="s">
        <v>26</v>
      </c>
      <c r="E22" s="3" t="s">
        <v>27</v>
      </c>
      <c r="F22" s="3" t="s">
        <v>28</v>
      </c>
      <c r="G22" s="3" t="s">
        <v>29</v>
      </c>
      <c r="H22" s="3" t="s">
        <v>30</v>
      </c>
      <c r="I22" s="3" t="s">
        <v>31</v>
      </c>
    </row>
    <row r="23" customFormat="false" ht="15" hidden="false" customHeight="false" outlineLevel="0" collapsed="false">
      <c r="A23" s="4" t="s">
        <v>68</v>
      </c>
      <c r="B23" s="24" t="n">
        <f aca="false">$C$17*STRIPE_PCT+$B$17*STRIPE_FIX</f>
        <v>2087.53125</v>
      </c>
      <c r="C23" s="24" t="n">
        <f aca="false">$C$17*PAYPLUG_PCT+$B$17*PAYPLUG_FIX</f>
        <v>1789.10625</v>
      </c>
      <c r="D23" s="24" t="n">
        <f aca="false">$C$17*LYRA_PCT+$B$17*LYRA_FIX</f>
        <v>1819.2375</v>
      </c>
      <c r="E23" s="24" t="n">
        <f aca="false">$C$17*MONETICO1_PCT+$B$17*MONETICO1_FIX</f>
        <v>373.03125</v>
      </c>
      <c r="F23" s="24" t="n">
        <f aca="false">$C$17*MONETICO2_PCT+$B$17*MONETICO2_FIX</f>
        <v>373.03125</v>
      </c>
      <c r="G23" s="24" t="n">
        <f aca="false">$C$17*SOGEL_PCT+$B$17*SOGEL_FIX</f>
        <v>373.03125</v>
      </c>
      <c r="H23" s="24" t="n">
        <f aca="false">$C$17*SOGEC_PCT+$B$17*SOGEC_FIX</f>
        <v>373.03125</v>
      </c>
      <c r="I23" s="24" t="n">
        <f aca="false">$C$17*HELLO_PCT+$B$17*HELLO_FIX</f>
        <v>0</v>
      </c>
    </row>
    <row r="24" customFormat="false" ht="15" hidden="false" customHeight="false" outlineLevel="0" collapsed="false">
      <c r="A24" s="7" t="s">
        <v>69</v>
      </c>
      <c r="B24" s="29" t="n">
        <f aca="false">STRIPE_ABO*12</f>
        <v>0</v>
      </c>
      <c r="C24" s="29" t="n">
        <f aca="false">PAYPLUG_ABO*12</f>
        <v>360</v>
      </c>
      <c r="D24" s="29" t="n">
        <f aca="false">LYRA_ABO*12</f>
        <v>480</v>
      </c>
      <c r="E24" s="29" t="n">
        <f aca="false">MONETICO1_ABO*12</f>
        <v>0</v>
      </c>
      <c r="F24" s="29" t="n">
        <f aca="false">MONETICO2_ABO*12</f>
        <v>240</v>
      </c>
      <c r="G24" s="29" t="n">
        <f aca="false">SOGEL_ABO*12</f>
        <v>192</v>
      </c>
      <c r="H24" s="29" t="n">
        <f aca="false">SOGEC_ABO*12</f>
        <v>396</v>
      </c>
      <c r="I24" s="29" t="n">
        <f aca="false">HELLO_ABO*12</f>
        <v>0</v>
      </c>
    </row>
    <row r="25" customFormat="false" ht="15" hidden="false" customHeight="false" outlineLevel="0" collapsed="false">
      <c r="A25" s="4" t="s">
        <v>70</v>
      </c>
      <c r="B25" s="24" t="n">
        <f aca="false">STRIPE_ENT</f>
        <v>0</v>
      </c>
      <c r="C25" s="24" t="n">
        <f aca="false">PAYPLUG_ENT</f>
        <v>0</v>
      </c>
      <c r="D25" s="24" t="n">
        <f aca="false">LYRA_ENT</f>
        <v>99</v>
      </c>
      <c r="E25" s="24" t="n">
        <f aca="false">MONETICO1_ENT</f>
        <v>0</v>
      </c>
      <c r="F25" s="24" t="n">
        <f aca="false">MONETICO2_ENT</f>
        <v>0</v>
      </c>
      <c r="G25" s="24" t="n">
        <f aca="false">SOGEL_ENT</f>
        <v>100</v>
      </c>
      <c r="H25" s="24" t="n">
        <f aca="false">SOGEC_ENT</f>
        <v>300</v>
      </c>
      <c r="I25" s="24" t="n">
        <f aca="false">HELLO_ENT</f>
        <v>0</v>
      </c>
    </row>
    <row r="26" customFormat="false" ht="15" hidden="false" customHeight="false" outlineLevel="0" collapsed="false">
      <c r="A26" s="7" t="s">
        <v>71</v>
      </c>
      <c r="B26" s="44" t="n">
        <f aca="false">SUM(B23:B25)</f>
        <v>2087.53125</v>
      </c>
      <c r="C26" s="44" t="n">
        <f aca="false">SUM(C23:C25)</f>
        <v>2149.10625</v>
      </c>
      <c r="D26" s="44" t="n">
        <f aca="false">SUM(D23:D25)</f>
        <v>2398.2375</v>
      </c>
      <c r="E26" s="44" t="n">
        <f aca="false">SUM(E23:E25)</f>
        <v>373.03125</v>
      </c>
      <c r="F26" s="44" t="n">
        <f aca="false">SUM(F23:F25)</f>
        <v>613.03125</v>
      </c>
      <c r="G26" s="44" t="n">
        <f aca="false">SUM(G23:G25)</f>
        <v>665.03125</v>
      </c>
      <c r="H26" s="44" t="n">
        <f aca="false">SUM(H23:H25)</f>
        <v>1069.03125</v>
      </c>
      <c r="I26" s="44" t="n">
        <f aca="false">SUM(I23:I25)</f>
        <v>0</v>
      </c>
    </row>
  </sheetData>
  <sheetProtection sheet="true" formatCells="false" formatColumns="false" formatRows="false"/>
  <conditionalFormatting sqref="D5:K5">
    <cfRule type="colorScale" priority="2">
      <colorScale>
        <cfvo type="min" val="0"/>
        <cfvo type="max" val="0"/>
        <color rgb="FF63BE7B"/>
        <color rgb="FFF8696B"/>
      </colorScale>
    </cfRule>
  </conditionalFormatting>
  <conditionalFormatting sqref="D6:K6">
    <cfRule type="colorScale" priority="3">
      <colorScale>
        <cfvo type="min" val="0"/>
        <cfvo type="max" val="0"/>
        <color rgb="FF63BE7B"/>
        <color rgb="FFF8696B"/>
      </colorScale>
    </cfRule>
  </conditionalFormatting>
  <conditionalFormatting sqref="D7:K7">
    <cfRule type="colorScale" priority="4">
      <colorScale>
        <cfvo type="min" val="0"/>
        <cfvo type="max" val="0"/>
        <color rgb="FF63BE7B"/>
        <color rgb="FFF8696B"/>
      </colorScale>
    </cfRule>
  </conditionalFormatting>
  <conditionalFormatting sqref="D8:K8">
    <cfRule type="colorScale" priority="5">
      <colorScale>
        <cfvo type="min" val="0"/>
        <cfvo type="max" val="0"/>
        <color rgb="FF63BE7B"/>
        <color rgb="FFF8696B"/>
      </colorScale>
    </cfRule>
  </conditionalFormatting>
  <conditionalFormatting sqref="D9:K9">
    <cfRule type="colorScale" priority="6">
      <colorScale>
        <cfvo type="min" val="0"/>
        <cfvo type="max" val="0"/>
        <color rgb="FF63BE7B"/>
        <color rgb="FFF8696B"/>
      </colorScale>
    </cfRule>
  </conditionalFormatting>
  <conditionalFormatting sqref="D10:K10">
    <cfRule type="colorScale" priority="7">
      <colorScale>
        <cfvo type="min" val="0"/>
        <cfvo type="max" val="0"/>
        <color rgb="FF63BE7B"/>
        <color rgb="FFF8696B"/>
      </colorScale>
    </cfRule>
  </conditionalFormatting>
  <conditionalFormatting sqref="D11:K11">
    <cfRule type="colorScale" priority="8">
      <colorScale>
        <cfvo type="min" val="0"/>
        <cfvo type="max" val="0"/>
        <color rgb="FF63BE7B"/>
        <color rgb="FFF8696B"/>
      </colorScale>
    </cfRule>
  </conditionalFormatting>
  <conditionalFormatting sqref="D12:K12">
    <cfRule type="colorScale" priority="9">
      <colorScale>
        <cfvo type="min" val="0"/>
        <cfvo type="max" val="0"/>
        <color rgb="FF63BE7B"/>
        <color rgb="FFF8696B"/>
      </colorScale>
    </cfRule>
  </conditionalFormatting>
  <conditionalFormatting sqref="D13:K13">
    <cfRule type="colorScale" priority="10">
      <colorScale>
        <cfvo type="min" val="0"/>
        <cfvo type="max" val="0"/>
        <color rgb="FF63BE7B"/>
        <color rgb="FFF8696B"/>
      </colorScale>
    </cfRule>
  </conditionalFormatting>
  <conditionalFormatting sqref="D14:K14">
    <cfRule type="colorScale" priority="11">
      <colorScale>
        <cfvo type="min" val="0"/>
        <cfvo type="max" val="0"/>
        <color rgb="FF63BE7B"/>
        <color rgb="FFF8696B"/>
      </colorScale>
    </cfRule>
  </conditionalFormatting>
  <conditionalFormatting sqref="D15:K15">
    <cfRule type="colorScale" priority="12">
      <colorScale>
        <cfvo type="min" val="0"/>
        <cfvo type="max" val="0"/>
        <color rgb="FF63BE7B"/>
        <color rgb="FFF8696B"/>
      </colorScale>
    </cfRule>
  </conditionalFormatting>
  <conditionalFormatting sqref="D16:K16">
    <cfRule type="colorScale" priority="13">
      <colorScale>
        <cfvo type="min" val="0"/>
        <cfvo type="max" val="0"/>
        <color rgb="FF63BE7B"/>
        <color rgb="FFF8696B"/>
      </colorScale>
    </cfRule>
  </conditionalFormatting>
  <conditionalFormatting sqref="D18:K18">
    <cfRule type="colorScale" priority="14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15"/>
  </cols>
  <sheetData>
    <row r="1" customFormat="false" ht="16.15" hidden="false" customHeight="false" outlineLevel="0" collapsed="false">
      <c r="A1" s="1" t="s">
        <v>72</v>
      </c>
    </row>
    <row r="3" customFormat="false" ht="15" hidden="false" customHeight="false" outlineLevel="0" collapsed="false">
      <c r="A3" s="2" t="s">
        <v>73</v>
      </c>
    </row>
    <row r="4" customFormat="false" ht="15" hidden="false" customHeight="false" outlineLevel="0" collapsed="false">
      <c r="A4" s="0" t="s">
        <v>74</v>
      </c>
      <c r="B4" s="45" t="n">
        <f aca="false">NB_ACTIFS_FAIBLE*TXPA_AN+SOIREETX_AN</f>
        <v>2223.75</v>
      </c>
      <c r="D4" s="46" t="s">
        <v>75</v>
      </c>
      <c r="E4" s="47" t="n">
        <f aca="false">NB_ACTIFS_FAIBLE*TXPA_AN*MONTANT_FAIBLE+SOIREETX_AN*SOIREE_MONTANT</f>
        <v>33356.25</v>
      </c>
    </row>
    <row r="5" customFormat="false" ht="23.85" hidden="false" customHeight="false" outlineLevel="0" collapsed="false">
      <c r="A5" s="3" t="s">
        <v>19</v>
      </c>
      <c r="B5" s="3" t="s">
        <v>76</v>
      </c>
      <c r="C5" s="3" t="s">
        <v>77</v>
      </c>
      <c r="D5" s="3" t="s">
        <v>78</v>
      </c>
      <c r="E5" s="3" t="s">
        <v>79</v>
      </c>
      <c r="F5" s="3" t="s">
        <v>80</v>
      </c>
      <c r="G5" s="3" t="s">
        <v>81</v>
      </c>
      <c r="H5" s="3" t="s">
        <v>82</v>
      </c>
      <c r="I5" s="3" t="s">
        <v>83</v>
      </c>
    </row>
    <row r="6" customFormat="false" ht="15" hidden="false" customHeight="false" outlineLevel="0" collapsed="false">
      <c r="A6" s="4" t="s">
        <v>24</v>
      </c>
      <c r="B6" s="24" t="n">
        <f aca="false">$E$4*STRIPE_PCT+$B$4*STRIPE_FIX</f>
        <v>1056.28125</v>
      </c>
      <c r="C6" s="24" t="n">
        <f aca="false">STRIPE_ABO*12</f>
        <v>0</v>
      </c>
      <c r="D6" s="24" t="n">
        <f aca="false">STRIPE_ENT</f>
        <v>0</v>
      </c>
      <c r="E6" s="24" t="n">
        <f aca="false">SUM(B6:D6)</f>
        <v>1056.28125</v>
      </c>
      <c r="F6" s="24" t="n">
        <f aca="false">E6*(1+TVA)</f>
        <v>1267.5375</v>
      </c>
      <c r="G6" s="38" t="n">
        <f aca="false">E6/$B$4</f>
        <v>0.475</v>
      </c>
      <c r="H6" s="48" t="n">
        <f aca="false">E6/$E$4</f>
        <v>0.0316666666666667</v>
      </c>
      <c r="I6" s="21" t="n">
        <f aca="false">RANK(E6,$E$6:$E$13,1)</f>
        <v>6</v>
      </c>
    </row>
    <row r="7" customFormat="false" ht="15" hidden="false" customHeight="false" outlineLevel="0" collapsed="false">
      <c r="A7" s="7" t="s">
        <v>25</v>
      </c>
      <c r="B7" s="29" t="n">
        <f aca="false">$E$4*PAYPLUG_PCT+$B$4*PAYPLUG_FIX</f>
        <v>922.85625</v>
      </c>
      <c r="C7" s="29" t="n">
        <f aca="false">PAYPLUG_ABO*12</f>
        <v>360</v>
      </c>
      <c r="D7" s="29" t="n">
        <f aca="false">PAYPLUG_ENT</f>
        <v>0</v>
      </c>
      <c r="E7" s="29" t="n">
        <f aca="false">SUM(B7:D7)</f>
        <v>1282.85625</v>
      </c>
      <c r="F7" s="29" t="n">
        <f aca="false">E7*(1+TVA)</f>
        <v>1539.4275</v>
      </c>
      <c r="G7" s="42" t="n">
        <f aca="false">E7/$B$4</f>
        <v>0.576888701517707</v>
      </c>
      <c r="H7" s="49" t="n">
        <f aca="false">E7/$E$4</f>
        <v>0.0384592467678471</v>
      </c>
      <c r="I7" s="26" t="n">
        <f aca="false">RANK(E7,$E$6:$E$13,1)</f>
        <v>7</v>
      </c>
    </row>
    <row r="8" customFormat="false" ht="15" hidden="false" customHeight="false" outlineLevel="0" collapsed="false">
      <c r="A8" s="4" t="s">
        <v>26</v>
      </c>
      <c r="B8" s="24" t="n">
        <f aca="false">$E$4*LYRA_PCT+$B$4*LYRA_FIX</f>
        <v>911.7375</v>
      </c>
      <c r="C8" s="24" t="n">
        <f aca="false">LYRA_ABO*12</f>
        <v>480</v>
      </c>
      <c r="D8" s="24" t="n">
        <f aca="false">LYRA_ENT</f>
        <v>99</v>
      </c>
      <c r="E8" s="24" t="n">
        <f aca="false">SUM(B8:D8)</f>
        <v>1490.7375</v>
      </c>
      <c r="F8" s="24" t="n">
        <f aca="false">E8*(1+TVA)</f>
        <v>1788.885</v>
      </c>
      <c r="G8" s="38" t="n">
        <f aca="false">E8/$B$4</f>
        <v>0.670370994940978</v>
      </c>
      <c r="H8" s="48" t="n">
        <f aca="false">E8/$E$4</f>
        <v>0.0446913996627319</v>
      </c>
      <c r="I8" s="21" t="n">
        <f aca="false">RANK(E8,$E$6:$E$13,1)</f>
        <v>8</v>
      </c>
    </row>
    <row r="9" customFormat="false" ht="15" hidden="false" customHeight="false" outlineLevel="0" collapsed="false">
      <c r="A9" s="7" t="s">
        <v>27</v>
      </c>
      <c r="B9" s="29" t="n">
        <f aca="false">$E$4*MONETICO1_PCT+$B$4*MONETICO1_FIX</f>
        <v>166.78125</v>
      </c>
      <c r="C9" s="29" t="n">
        <f aca="false">MONETICO1_ABO*12</f>
        <v>0</v>
      </c>
      <c r="D9" s="29" t="n">
        <f aca="false">MONETICO1_ENT</f>
        <v>0</v>
      </c>
      <c r="E9" s="29" t="n">
        <f aca="false">SUM(B9:D9)</f>
        <v>166.78125</v>
      </c>
      <c r="F9" s="29" t="n">
        <f aca="false">E9*(1+TVA)</f>
        <v>200.1375</v>
      </c>
      <c r="G9" s="42" t="n">
        <f aca="false">E9/$B$4</f>
        <v>0.075</v>
      </c>
      <c r="H9" s="49" t="n">
        <f aca="false">E9/$E$4</f>
        <v>0.005</v>
      </c>
      <c r="I9" s="26" t="n">
        <f aca="false">RANK(E9,$E$6:$E$13,1)</f>
        <v>2</v>
      </c>
    </row>
    <row r="10" customFormat="false" ht="15" hidden="false" customHeight="false" outlineLevel="0" collapsed="false">
      <c r="A10" s="4" t="s">
        <v>28</v>
      </c>
      <c r="B10" s="24" t="n">
        <f aca="false">$E$4*MONETICO2_PCT+$B$4*MONETICO2_FIX</f>
        <v>166.78125</v>
      </c>
      <c r="C10" s="24" t="n">
        <f aca="false">MONETICO2_ABO*12</f>
        <v>240</v>
      </c>
      <c r="D10" s="24" t="n">
        <f aca="false">MONETICO2_ENT</f>
        <v>0</v>
      </c>
      <c r="E10" s="24" t="n">
        <f aca="false">SUM(B10:D10)</f>
        <v>406.78125</v>
      </c>
      <c r="F10" s="24" t="n">
        <f aca="false">E10*(1+TVA)</f>
        <v>488.1375</v>
      </c>
      <c r="G10" s="38" t="n">
        <f aca="false">E10/$B$4</f>
        <v>0.182925801011804</v>
      </c>
      <c r="H10" s="48" t="n">
        <f aca="false">E10/$E$4</f>
        <v>0.012195053400787</v>
      </c>
      <c r="I10" s="21" t="n">
        <f aca="false">RANK(E10,$E$6:$E$13,1)</f>
        <v>3</v>
      </c>
    </row>
    <row r="11" customFormat="false" ht="15" hidden="false" customHeight="false" outlineLevel="0" collapsed="false">
      <c r="A11" s="7" t="s">
        <v>29</v>
      </c>
      <c r="B11" s="29" t="n">
        <f aca="false">$E$4*SOGEL_PCT+$B$4*SOGEL_FIX</f>
        <v>166.78125</v>
      </c>
      <c r="C11" s="29" t="n">
        <f aca="false">SOGEL_ABO*12</f>
        <v>192</v>
      </c>
      <c r="D11" s="29" t="n">
        <f aca="false">SOGEL_ENT</f>
        <v>100</v>
      </c>
      <c r="E11" s="29" t="n">
        <f aca="false">SUM(B11:D11)</f>
        <v>458.78125</v>
      </c>
      <c r="F11" s="29" t="n">
        <f aca="false">E11*(1+TVA)</f>
        <v>550.5375</v>
      </c>
      <c r="G11" s="42" t="n">
        <f aca="false">E11/$B$4</f>
        <v>0.206309724564362</v>
      </c>
      <c r="H11" s="49" t="n">
        <f aca="false">E11/$E$4</f>
        <v>0.0137539816376241</v>
      </c>
      <c r="I11" s="26" t="n">
        <f aca="false">RANK(E11,$E$6:$E$13,1)</f>
        <v>4</v>
      </c>
    </row>
    <row r="12" customFormat="false" ht="15" hidden="false" customHeight="false" outlineLevel="0" collapsed="false">
      <c r="A12" s="4" t="s">
        <v>30</v>
      </c>
      <c r="B12" s="24" t="n">
        <f aca="false">$E$4*SOGEC_PCT+$B$4*SOGEC_FIX</f>
        <v>166.78125</v>
      </c>
      <c r="C12" s="24" t="n">
        <f aca="false">SOGEC_ABO*12</f>
        <v>396</v>
      </c>
      <c r="D12" s="24" t="n">
        <f aca="false">SOGEC_ENT</f>
        <v>300</v>
      </c>
      <c r="E12" s="24" t="n">
        <f aca="false">SUM(B12:D12)</f>
        <v>862.78125</v>
      </c>
      <c r="F12" s="24" t="n">
        <f aca="false">E12*(1+TVA)</f>
        <v>1035.3375</v>
      </c>
      <c r="G12" s="38" t="n">
        <f aca="false">E12/$B$4</f>
        <v>0.387984822934233</v>
      </c>
      <c r="H12" s="48" t="n">
        <f aca="false">E12/$E$4</f>
        <v>0.0258656548622822</v>
      </c>
      <c r="I12" s="21" t="n">
        <f aca="false">RANK(E12,$E$6:$E$13,1)</f>
        <v>5</v>
      </c>
    </row>
    <row r="13" customFormat="false" ht="15" hidden="false" customHeight="false" outlineLevel="0" collapsed="false">
      <c r="A13" s="7" t="s">
        <v>31</v>
      </c>
      <c r="B13" s="29" t="n">
        <f aca="false">$E$4*HELLO_PCT+$B$4*HELLO_FIX</f>
        <v>0</v>
      </c>
      <c r="C13" s="29" t="n">
        <f aca="false">HELLO_ABO*12</f>
        <v>0</v>
      </c>
      <c r="D13" s="29" t="n">
        <f aca="false">HELLO_ENT</f>
        <v>0</v>
      </c>
      <c r="E13" s="29" t="n">
        <f aca="false">SUM(B13:D13)</f>
        <v>0</v>
      </c>
      <c r="F13" s="29" t="n">
        <f aca="false">E13*(1+TVA)</f>
        <v>0</v>
      </c>
      <c r="G13" s="42" t="n">
        <f aca="false">E13/$B$4</f>
        <v>0</v>
      </c>
      <c r="H13" s="49" t="n">
        <f aca="false">E13/$E$4</f>
        <v>0</v>
      </c>
      <c r="I13" s="26" t="n">
        <f aca="false">RANK(E13,$E$6:$E$13,1)</f>
        <v>1</v>
      </c>
    </row>
    <row r="15" customFormat="false" ht="15" hidden="false" customHeight="false" outlineLevel="0" collapsed="false">
      <c r="A15" s="2" t="s">
        <v>84</v>
      </c>
    </row>
    <row r="16" customFormat="false" ht="15" hidden="false" customHeight="false" outlineLevel="0" collapsed="false">
      <c r="A16" s="0" t="s">
        <v>74</v>
      </c>
      <c r="B16" s="45" t="n">
        <f aca="false">NB_ACTIFS_MOY*TXPA_AN+SOIREETX_AN</f>
        <v>3873.75</v>
      </c>
      <c r="D16" s="46" t="s">
        <v>75</v>
      </c>
      <c r="E16" s="47" t="n">
        <f aca="false">NB_ACTIFS_MOY*TXPA_AN*MONTANT_MOY+SOIREETX_AN*SOIREE_MONTANT</f>
        <v>74606.25</v>
      </c>
    </row>
    <row r="17" customFormat="false" ht="23.85" hidden="false" customHeight="false" outlineLevel="0" collapsed="false">
      <c r="A17" s="3" t="s">
        <v>19</v>
      </c>
      <c r="B17" s="3" t="s">
        <v>76</v>
      </c>
      <c r="C17" s="3" t="s">
        <v>77</v>
      </c>
      <c r="D17" s="3" t="s">
        <v>78</v>
      </c>
      <c r="E17" s="3" t="s">
        <v>79</v>
      </c>
      <c r="F17" s="3" t="s">
        <v>80</v>
      </c>
      <c r="G17" s="3" t="s">
        <v>81</v>
      </c>
      <c r="H17" s="3" t="s">
        <v>82</v>
      </c>
      <c r="I17" s="3" t="s">
        <v>83</v>
      </c>
    </row>
    <row r="18" customFormat="false" ht="15" hidden="false" customHeight="false" outlineLevel="0" collapsed="false">
      <c r="A18" s="4" t="s">
        <v>24</v>
      </c>
      <c r="B18" s="24" t="n">
        <f aca="false">$E$16*STRIPE_PCT+$B$16*STRIPE_FIX</f>
        <v>2087.53125</v>
      </c>
      <c r="C18" s="24" t="n">
        <f aca="false">STRIPE_ABO*12</f>
        <v>0</v>
      </c>
      <c r="D18" s="24" t="n">
        <f aca="false">STRIPE_ENT</f>
        <v>0</v>
      </c>
      <c r="E18" s="24" t="n">
        <f aca="false">SUM(B18:D18)</f>
        <v>2087.53125</v>
      </c>
      <c r="F18" s="24" t="n">
        <f aca="false">E18*(1+TVA)</f>
        <v>2505.0375</v>
      </c>
      <c r="G18" s="38" t="n">
        <f aca="false">E18/$B$16</f>
        <v>0.538891577928364</v>
      </c>
      <c r="H18" s="48" t="n">
        <f aca="false">E18/$E$16</f>
        <v>0.0279806484041216</v>
      </c>
      <c r="I18" s="21" t="n">
        <f aca="false">RANK(E18,$E$18:$E$25,1)</f>
        <v>6</v>
      </c>
    </row>
    <row r="19" customFormat="false" ht="15" hidden="false" customHeight="false" outlineLevel="0" collapsed="false">
      <c r="A19" s="7" t="s">
        <v>25</v>
      </c>
      <c r="B19" s="29" t="n">
        <f aca="false">$E$16*PAYPLUG_PCT+$B$16*PAYPLUG_FIX</f>
        <v>1789.10625</v>
      </c>
      <c r="C19" s="29" t="n">
        <f aca="false">PAYPLUG_ABO*12</f>
        <v>360</v>
      </c>
      <c r="D19" s="29" t="n">
        <f aca="false">PAYPLUG_ENT</f>
        <v>0</v>
      </c>
      <c r="E19" s="29" t="n">
        <f aca="false">SUM(B19:D19)</f>
        <v>2149.10625</v>
      </c>
      <c r="F19" s="29" t="n">
        <f aca="false">E19*(1+TVA)</f>
        <v>2578.9275</v>
      </c>
      <c r="G19" s="42" t="n">
        <f aca="false">E19/$B$16</f>
        <v>0.554787028073572</v>
      </c>
      <c r="H19" s="49" t="n">
        <f aca="false">E19/$E$16</f>
        <v>0.0288059814023624</v>
      </c>
      <c r="I19" s="26" t="n">
        <f aca="false">RANK(E19,$E$18:$E$25,1)</f>
        <v>7</v>
      </c>
    </row>
    <row r="20" customFormat="false" ht="15" hidden="false" customHeight="false" outlineLevel="0" collapsed="false">
      <c r="A20" s="4" t="s">
        <v>26</v>
      </c>
      <c r="B20" s="24" t="n">
        <f aca="false">$E$16*LYRA_PCT+$B$16*LYRA_FIX</f>
        <v>1819.2375</v>
      </c>
      <c r="C20" s="24" t="n">
        <f aca="false">LYRA_ABO*12</f>
        <v>480</v>
      </c>
      <c r="D20" s="24" t="n">
        <f aca="false">LYRA_ENT</f>
        <v>99</v>
      </c>
      <c r="E20" s="24" t="n">
        <f aca="false">SUM(B20:D20)</f>
        <v>2398.2375</v>
      </c>
      <c r="F20" s="24" t="n">
        <f aca="false">E20*(1+TVA)</f>
        <v>2877.885</v>
      </c>
      <c r="G20" s="38" t="n">
        <f aca="false">E20/$B$16</f>
        <v>0.619099709583737</v>
      </c>
      <c r="H20" s="48" t="n">
        <f aca="false">E20/$E$16</f>
        <v>0.0321452626288012</v>
      </c>
      <c r="I20" s="21" t="n">
        <f aca="false">RANK(E20,$E$18:$E$25,1)</f>
        <v>8</v>
      </c>
    </row>
    <row r="21" customFormat="false" ht="15" hidden="false" customHeight="false" outlineLevel="0" collapsed="false">
      <c r="A21" s="7" t="s">
        <v>27</v>
      </c>
      <c r="B21" s="29" t="n">
        <f aca="false">$E$16*MONETICO1_PCT+$B$16*MONETICO1_FIX</f>
        <v>373.03125</v>
      </c>
      <c r="C21" s="29" t="n">
        <f aca="false">MONETICO1_ABO*12</f>
        <v>0</v>
      </c>
      <c r="D21" s="29" t="n">
        <f aca="false">MONETICO1_ENT</f>
        <v>0</v>
      </c>
      <c r="E21" s="29" t="n">
        <f aca="false">SUM(B21:D21)</f>
        <v>373.03125</v>
      </c>
      <c r="F21" s="29" t="n">
        <f aca="false">E21*(1+TVA)</f>
        <v>447.6375</v>
      </c>
      <c r="G21" s="42" t="n">
        <f aca="false">E21/$B$16</f>
        <v>0.096297192642788</v>
      </c>
      <c r="H21" s="49" t="n">
        <f aca="false">E21/$E$16</f>
        <v>0.005</v>
      </c>
      <c r="I21" s="26" t="n">
        <f aca="false">RANK(E21,$E$18:$E$25,1)</f>
        <v>2</v>
      </c>
    </row>
    <row r="22" customFormat="false" ht="15" hidden="false" customHeight="false" outlineLevel="0" collapsed="false">
      <c r="A22" s="4" t="s">
        <v>28</v>
      </c>
      <c r="B22" s="24" t="n">
        <f aca="false">$E$16*MONETICO2_PCT+$B$16*MONETICO2_FIX</f>
        <v>373.03125</v>
      </c>
      <c r="C22" s="24" t="n">
        <f aca="false">MONETICO2_ABO*12</f>
        <v>240</v>
      </c>
      <c r="D22" s="24" t="n">
        <f aca="false">MONETICO2_ENT</f>
        <v>0</v>
      </c>
      <c r="E22" s="24" t="n">
        <f aca="false">SUM(B22:D22)</f>
        <v>613.03125</v>
      </c>
      <c r="F22" s="24" t="n">
        <f aca="false">E22*(1+TVA)</f>
        <v>735.6375</v>
      </c>
      <c r="G22" s="38" t="n">
        <f aca="false">E22/$B$16</f>
        <v>0.15825266214908</v>
      </c>
      <c r="H22" s="48" t="n">
        <f aca="false">E22/$E$16</f>
        <v>0.00821688866549384</v>
      </c>
      <c r="I22" s="21" t="n">
        <f aca="false">RANK(E22,$E$18:$E$25,1)</f>
        <v>3</v>
      </c>
    </row>
    <row r="23" customFormat="false" ht="15" hidden="false" customHeight="false" outlineLevel="0" collapsed="false">
      <c r="A23" s="7" t="s">
        <v>29</v>
      </c>
      <c r="B23" s="29" t="n">
        <f aca="false">$E$16*SOGEL_PCT+$B$16*SOGEL_FIX</f>
        <v>373.03125</v>
      </c>
      <c r="C23" s="29" t="n">
        <f aca="false">SOGEL_ABO*12</f>
        <v>192</v>
      </c>
      <c r="D23" s="29" t="n">
        <f aca="false">SOGEL_ENT</f>
        <v>100</v>
      </c>
      <c r="E23" s="29" t="n">
        <f aca="false">SUM(B23:D23)</f>
        <v>665.03125</v>
      </c>
      <c r="F23" s="29" t="n">
        <f aca="false">E23*(1+TVA)</f>
        <v>798.0375</v>
      </c>
      <c r="G23" s="42" t="n">
        <f aca="false">E23/$B$16</f>
        <v>0.171676347208777</v>
      </c>
      <c r="H23" s="49" t="n">
        <f aca="false">E23/$E$16</f>
        <v>0.00891388120968418</v>
      </c>
      <c r="I23" s="26" t="n">
        <f aca="false">RANK(E23,$E$18:$E$25,1)</f>
        <v>4</v>
      </c>
    </row>
    <row r="24" customFormat="false" ht="15" hidden="false" customHeight="false" outlineLevel="0" collapsed="false">
      <c r="A24" s="4" t="s">
        <v>30</v>
      </c>
      <c r="B24" s="24" t="n">
        <f aca="false">$E$16*SOGEC_PCT+$B$16*SOGEC_FIX</f>
        <v>373.03125</v>
      </c>
      <c r="C24" s="24" t="n">
        <f aca="false">SOGEC_ABO*12</f>
        <v>396</v>
      </c>
      <c r="D24" s="24" t="n">
        <f aca="false">SOGEC_ENT</f>
        <v>300</v>
      </c>
      <c r="E24" s="24" t="n">
        <f aca="false">SUM(B24:D24)</f>
        <v>1069.03125</v>
      </c>
      <c r="F24" s="24" t="n">
        <f aca="false">E24*(1+TVA)</f>
        <v>1282.8375</v>
      </c>
      <c r="G24" s="38" t="n">
        <f aca="false">E24/$B$16</f>
        <v>0.275968054211036</v>
      </c>
      <c r="H24" s="48" t="n">
        <f aca="false">E24/$E$16</f>
        <v>0.0143289771299321</v>
      </c>
      <c r="I24" s="21" t="n">
        <f aca="false">RANK(E24,$E$18:$E$25,1)</f>
        <v>5</v>
      </c>
    </row>
    <row r="25" customFormat="false" ht="15" hidden="false" customHeight="false" outlineLevel="0" collapsed="false">
      <c r="A25" s="7" t="s">
        <v>31</v>
      </c>
      <c r="B25" s="29" t="n">
        <f aca="false">$E$16*HELLO_PCT+$B$16*HELLO_FIX</f>
        <v>0</v>
      </c>
      <c r="C25" s="29" t="n">
        <f aca="false">HELLO_ABO*12</f>
        <v>0</v>
      </c>
      <c r="D25" s="29" t="n">
        <f aca="false">HELLO_ENT</f>
        <v>0</v>
      </c>
      <c r="E25" s="29" t="n">
        <f aca="false">SUM(B25:D25)</f>
        <v>0</v>
      </c>
      <c r="F25" s="29" t="n">
        <f aca="false">E25*(1+TVA)</f>
        <v>0</v>
      </c>
      <c r="G25" s="42" t="n">
        <f aca="false">E25/$B$16</f>
        <v>0</v>
      </c>
      <c r="H25" s="49" t="n">
        <f aca="false">E25/$E$16</f>
        <v>0</v>
      </c>
      <c r="I25" s="26" t="n">
        <f aca="false">RANK(E25,$E$18:$E$25,1)</f>
        <v>1</v>
      </c>
    </row>
    <row r="27" customFormat="false" ht="15" hidden="false" customHeight="false" outlineLevel="0" collapsed="false">
      <c r="A27" s="2" t="s">
        <v>85</v>
      </c>
    </row>
    <row r="28" customFormat="false" ht="15" hidden="false" customHeight="false" outlineLevel="0" collapsed="false">
      <c r="A28" s="0" t="s">
        <v>74</v>
      </c>
      <c r="B28" s="45" t="n">
        <f aca="false">NB_ACTIFS_FORT*TXPA_AN+SOIREETX_AN</f>
        <v>5523.75</v>
      </c>
      <c r="D28" s="46" t="s">
        <v>75</v>
      </c>
      <c r="E28" s="47" t="n">
        <f aca="false">NB_ACTIFS_FORT*TXPA_AN*MONTANT_FORT+SOIREETX_AN*SOIREE_MONTANT</f>
        <v>132356.25</v>
      </c>
    </row>
    <row r="29" customFormat="false" ht="23.85" hidden="false" customHeight="false" outlineLevel="0" collapsed="false">
      <c r="A29" s="3" t="s">
        <v>19</v>
      </c>
      <c r="B29" s="3" t="s">
        <v>76</v>
      </c>
      <c r="C29" s="3" t="s">
        <v>77</v>
      </c>
      <c r="D29" s="3" t="s">
        <v>78</v>
      </c>
      <c r="E29" s="3" t="s">
        <v>79</v>
      </c>
      <c r="F29" s="3" t="s">
        <v>80</v>
      </c>
      <c r="G29" s="3" t="s">
        <v>81</v>
      </c>
      <c r="H29" s="3" t="s">
        <v>82</v>
      </c>
      <c r="I29" s="3" t="s">
        <v>83</v>
      </c>
    </row>
    <row r="30" customFormat="false" ht="15" hidden="false" customHeight="false" outlineLevel="0" collapsed="false">
      <c r="A30" s="4" t="s">
        <v>24</v>
      </c>
      <c r="B30" s="24" t="n">
        <f aca="false">$E$28*STRIPE_PCT+$B$28*STRIPE_FIX</f>
        <v>3366.28125</v>
      </c>
      <c r="C30" s="24" t="n">
        <f aca="false">STRIPE_ABO*12</f>
        <v>0</v>
      </c>
      <c r="D30" s="24" t="n">
        <f aca="false">STRIPE_ENT</f>
        <v>0</v>
      </c>
      <c r="E30" s="24" t="n">
        <f aca="false">SUM(B30:D30)</f>
        <v>3366.28125</v>
      </c>
      <c r="F30" s="24" t="n">
        <f aca="false">E30*(1+TVA)</f>
        <v>4039.5375</v>
      </c>
      <c r="G30" s="38" t="n">
        <f aca="false">E30/$B$28</f>
        <v>0.609419551934827</v>
      </c>
      <c r="H30" s="48" t="n">
        <f aca="false">E30/$E$28</f>
        <v>0.0254334891627709</v>
      </c>
      <c r="I30" s="21" t="n">
        <f aca="false">RANK(E30,$E$30:$E$37,1)</f>
        <v>7</v>
      </c>
    </row>
    <row r="31" customFormat="false" ht="15" hidden="false" customHeight="false" outlineLevel="0" collapsed="false">
      <c r="A31" s="7" t="s">
        <v>25</v>
      </c>
      <c r="B31" s="29" t="n">
        <f aca="false">$E$28*PAYPLUG_PCT+$B$28*PAYPLUG_FIX</f>
        <v>2836.85625</v>
      </c>
      <c r="C31" s="29" t="n">
        <f aca="false">PAYPLUG_ABO*12</f>
        <v>360</v>
      </c>
      <c r="D31" s="29" t="n">
        <f aca="false">PAYPLUG_ENT</f>
        <v>0</v>
      </c>
      <c r="E31" s="29" t="n">
        <f aca="false">SUM(B31:D31)</f>
        <v>3196.85625</v>
      </c>
      <c r="F31" s="29" t="n">
        <f aca="false">E31*(1+TVA)</f>
        <v>3836.2275</v>
      </c>
      <c r="G31" s="42" t="n">
        <f aca="false">E31/$B$28</f>
        <v>0.578747454175153</v>
      </c>
      <c r="H31" s="49" t="n">
        <f aca="false">E31/$E$28</f>
        <v>0.0241534211644709</v>
      </c>
      <c r="I31" s="26" t="n">
        <f aca="false">RANK(E31,$E$30:$E$37,1)</f>
        <v>6</v>
      </c>
    </row>
    <row r="32" customFormat="false" ht="15" hidden="false" customHeight="false" outlineLevel="0" collapsed="false">
      <c r="A32" s="4" t="s">
        <v>26</v>
      </c>
      <c r="B32" s="24" t="n">
        <f aca="false">$E$28*LYRA_PCT+$B$28*LYRA_FIX</f>
        <v>2957.7375</v>
      </c>
      <c r="C32" s="24" t="n">
        <f aca="false">LYRA_ABO*12</f>
        <v>480</v>
      </c>
      <c r="D32" s="24" t="n">
        <f aca="false">LYRA_ENT</f>
        <v>99</v>
      </c>
      <c r="E32" s="24" t="n">
        <f aca="false">SUM(B32:D32)</f>
        <v>3536.7375</v>
      </c>
      <c r="F32" s="24" t="n">
        <f aca="false">E32*(1+TVA)</f>
        <v>4244.085</v>
      </c>
      <c r="G32" s="38" t="n">
        <f aca="false">E32/$B$28</f>
        <v>0.640278343516633</v>
      </c>
      <c r="H32" s="48" t="n">
        <f aca="false">E32/$E$28</f>
        <v>0.0267213486329508</v>
      </c>
      <c r="I32" s="21" t="n">
        <f aca="false">RANK(E32,$E$30:$E$37,1)</f>
        <v>8</v>
      </c>
    </row>
    <row r="33" customFormat="false" ht="15" hidden="false" customHeight="false" outlineLevel="0" collapsed="false">
      <c r="A33" s="7" t="s">
        <v>27</v>
      </c>
      <c r="B33" s="29" t="n">
        <f aca="false">$E$28*MONETICO1_PCT+$B$28*MONETICO1_FIX</f>
        <v>661.78125</v>
      </c>
      <c r="C33" s="29" t="n">
        <f aca="false">MONETICO1_ABO*12</f>
        <v>0</v>
      </c>
      <c r="D33" s="29" t="n">
        <f aca="false">MONETICO1_ENT</f>
        <v>0</v>
      </c>
      <c r="E33" s="29" t="n">
        <f aca="false">SUM(B33:D33)</f>
        <v>661.78125</v>
      </c>
      <c r="F33" s="29" t="n">
        <f aca="false">E33*(1+TVA)</f>
        <v>794.1375</v>
      </c>
      <c r="G33" s="42" t="n">
        <f aca="false">E33/$B$28</f>
        <v>0.119806517311609</v>
      </c>
      <c r="H33" s="49" t="n">
        <f aca="false">E33/$E$28</f>
        <v>0.005</v>
      </c>
      <c r="I33" s="26" t="n">
        <f aca="false">RANK(E33,$E$30:$E$37,1)</f>
        <v>2</v>
      </c>
    </row>
    <row r="34" customFormat="false" ht="15" hidden="false" customHeight="false" outlineLevel="0" collapsed="false">
      <c r="A34" s="4" t="s">
        <v>28</v>
      </c>
      <c r="B34" s="24" t="n">
        <f aca="false">$E$28*MONETICO2_PCT+$B$28*MONETICO2_FIX</f>
        <v>661.78125</v>
      </c>
      <c r="C34" s="24" t="n">
        <f aca="false">MONETICO2_ABO*12</f>
        <v>240</v>
      </c>
      <c r="D34" s="24" t="n">
        <f aca="false">MONETICO2_ENT</f>
        <v>0</v>
      </c>
      <c r="E34" s="24" t="n">
        <f aca="false">SUM(B34:D34)</f>
        <v>901.78125</v>
      </c>
      <c r="F34" s="24" t="n">
        <f aca="false">E34*(1+TVA)</f>
        <v>1082.1375</v>
      </c>
      <c r="G34" s="38" t="n">
        <f aca="false">E34/$B$28</f>
        <v>0.163255261371351</v>
      </c>
      <c r="H34" s="48" t="n">
        <f aca="false">E34/$E$28</f>
        <v>0.00681328800113331</v>
      </c>
      <c r="I34" s="21" t="n">
        <f aca="false">RANK(E34,$E$30:$E$37,1)</f>
        <v>3</v>
      </c>
    </row>
    <row r="35" customFormat="false" ht="15" hidden="false" customHeight="false" outlineLevel="0" collapsed="false">
      <c r="A35" s="7" t="s">
        <v>29</v>
      </c>
      <c r="B35" s="29" t="n">
        <f aca="false">$E$28*SOGEL_PCT+$B$28*SOGEL_FIX</f>
        <v>661.78125</v>
      </c>
      <c r="C35" s="29" t="n">
        <f aca="false">SOGEL_ABO*12</f>
        <v>192</v>
      </c>
      <c r="D35" s="29" t="n">
        <f aca="false">SOGEL_ENT</f>
        <v>100</v>
      </c>
      <c r="E35" s="29" t="n">
        <f aca="false">SUM(B35:D35)</f>
        <v>953.78125</v>
      </c>
      <c r="F35" s="29" t="n">
        <f aca="false">E35*(1+TVA)</f>
        <v>1144.5375</v>
      </c>
      <c r="G35" s="42" t="n">
        <f aca="false">E35/$B$28</f>
        <v>0.172669155917628</v>
      </c>
      <c r="H35" s="49" t="n">
        <f aca="false">E35/$E$28</f>
        <v>0.00720616706804552</v>
      </c>
      <c r="I35" s="26" t="n">
        <f aca="false">RANK(E35,$E$30:$E$37,1)</f>
        <v>4</v>
      </c>
    </row>
    <row r="36" customFormat="false" ht="15" hidden="false" customHeight="false" outlineLevel="0" collapsed="false">
      <c r="A36" s="4" t="s">
        <v>30</v>
      </c>
      <c r="B36" s="24" t="n">
        <f aca="false">$E$28*SOGEC_PCT+$B$28*SOGEC_FIX</f>
        <v>661.78125</v>
      </c>
      <c r="C36" s="24" t="n">
        <f aca="false">SOGEC_ABO*12</f>
        <v>396</v>
      </c>
      <c r="D36" s="24" t="n">
        <f aca="false">SOGEC_ENT</f>
        <v>300</v>
      </c>
      <c r="E36" s="24" t="n">
        <f aca="false">SUM(B36:D36)</f>
        <v>1357.78125</v>
      </c>
      <c r="F36" s="24" t="n">
        <f aca="false">E36*(1+TVA)</f>
        <v>1629.3375</v>
      </c>
      <c r="G36" s="38" t="n">
        <f aca="false">E36/$B$28</f>
        <v>0.245807875084861</v>
      </c>
      <c r="H36" s="48" t="n">
        <f aca="false">E36/$E$28</f>
        <v>0.0102585352032866</v>
      </c>
      <c r="I36" s="21" t="n">
        <f aca="false">RANK(E36,$E$30:$E$37,1)</f>
        <v>5</v>
      </c>
    </row>
    <row r="37" customFormat="false" ht="15" hidden="false" customHeight="false" outlineLevel="0" collapsed="false">
      <c r="A37" s="7" t="s">
        <v>31</v>
      </c>
      <c r="B37" s="29" t="n">
        <f aca="false">$E$28*HELLO_PCT+$B$28*HELLO_FIX</f>
        <v>0</v>
      </c>
      <c r="C37" s="29" t="n">
        <f aca="false">HELLO_ABO*12</f>
        <v>0</v>
      </c>
      <c r="D37" s="29" t="n">
        <f aca="false">HELLO_ENT</f>
        <v>0</v>
      </c>
      <c r="E37" s="29" t="n">
        <f aca="false">SUM(B37:D37)</f>
        <v>0</v>
      </c>
      <c r="F37" s="29" t="n">
        <f aca="false">E37*(1+TVA)</f>
        <v>0</v>
      </c>
      <c r="G37" s="42" t="n">
        <f aca="false">E37/$B$28</f>
        <v>0</v>
      </c>
      <c r="H37" s="49" t="n">
        <f aca="false">E37/$E$28</f>
        <v>0</v>
      </c>
      <c r="I37" s="26" t="n">
        <f aca="false">RANK(E37,$E$30:$E$37,1)</f>
        <v>1</v>
      </c>
    </row>
    <row r="40" customFormat="false" ht="15" hidden="false" customHeight="false" outlineLevel="0" collapsed="false">
      <c r="A40" s="2" t="s">
        <v>86</v>
      </c>
    </row>
    <row r="41" customFormat="false" ht="23.85" hidden="false" customHeight="false" outlineLevel="0" collapsed="false">
      <c r="A41" s="3" t="s">
        <v>2</v>
      </c>
      <c r="B41" s="3" t="s">
        <v>24</v>
      </c>
      <c r="C41" s="3" t="s">
        <v>25</v>
      </c>
      <c r="D41" s="3" t="s">
        <v>26</v>
      </c>
      <c r="E41" s="3" t="s">
        <v>27</v>
      </c>
      <c r="F41" s="3" t="s">
        <v>28</v>
      </c>
      <c r="G41" s="3" t="s">
        <v>29</v>
      </c>
      <c r="H41" s="3" t="s">
        <v>30</v>
      </c>
      <c r="I41" s="3" t="s">
        <v>31</v>
      </c>
    </row>
    <row r="42" customFormat="false" ht="15" hidden="false" customHeight="false" outlineLevel="0" collapsed="false">
      <c r="A42" s="4" t="s">
        <v>5</v>
      </c>
      <c r="B42" s="24" t="n">
        <f aca="false">F6</f>
        <v>1267.5375</v>
      </c>
      <c r="C42" s="24" t="n">
        <f aca="false">F7</f>
        <v>1539.4275</v>
      </c>
      <c r="D42" s="24" t="n">
        <f aca="false">F8</f>
        <v>1788.885</v>
      </c>
      <c r="E42" s="24" t="n">
        <f aca="false">F9</f>
        <v>200.1375</v>
      </c>
      <c r="F42" s="24" t="n">
        <f aca="false">F10</f>
        <v>488.1375</v>
      </c>
      <c r="G42" s="24" t="n">
        <f aca="false">F11</f>
        <v>550.5375</v>
      </c>
      <c r="H42" s="24" t="n">
        <f aca="false">F12</f>
        <v>1035.3375</v>
      </c>
      <c r="I42" s="24" t="n">
        <f aca="false">F13</f>
        <v>0</v>
      </c>
    </row>
    <row r="43" customFormat="false" ht="15" hidden="false" customHeight="false" outlineLevel="0" collapsed="false">
      <c r="A43" s="7" t="s">
        <v>6</v>
      </c>
      <c r="B43" s="29" t="n">
        <f aca="false">F18</f>
        <v>2505.0375</v>
      </c>
      <c r="C43" s="29" t="n">
        <f aca="false">F19</f>
        <v>2578.9275</v>
      </c>
      <c r="D43" s="29" t="n">
        <f aca="false">F20</f>
        <v>2877.885</v>
      </c>
      <c r="E43" s="29" t="n">
        <f aca="false">F21</f>
        <v>447.6375</v>
      </c>
      <c r="F43" s="29" t="n">
        <f aca="false">F22</f>
        <v>735.6375</v>
      </c>
      <c r="G43" s="29" t="n">
        <f aca="false">F23</f>
        <v>798.0375</v>
      </c>
      <c r="H43" s="29" t="n">
        <f aca="false">F24</f>
        <v>1282.8375</v>
      </c>
      <c r="I43" s="29" t="n">
        <f aca="false">F25</f>
        <v>0</v>
      </c>
    </row>
    <row r="44" customFormat="false" ht="15" hidden="false" customHeight="false" outlineLevel="0" collapsed="false">
      <c r="A44" s="4" t="s">
        <v>7</v>
      </c>
      <c r="B44" s="24" t="n">
        <f aca="false">F30</f>
        <v>4039.5375</v>
      </c>
      <c r="C44" s="24" t="n">
        <f aca="false">F31</f>
        <v>3836.2275</v>
      </c>
      <c r="D44" s="24" t="n">
        <f aca="false">F32</f>
        <v>4244.085</v>
      </c>
      <c r="E44" s="24" t="n">
        <f aca="false">F33</f>
        <v>794.1375</v>
      </c>
      <c r="F44" s="24" t="n">
        <f aca="false">F34</f>
        <v>1082.1375</v>
      </c>
      <c r="G44" s="24" t="n">
        <f aca="false">F35</f>
        <v>1144.5375</v>
      </c>
      <c r="H44" s="24" t="n">
        <f aca="false">F36</f>
        <v>1629.3375</v>
      </c>
      <c r="I44" s="24" t="n">
        <f aca="false">F37</f>
        <v>0</v>
      </c>
    </row>
  </sheetData>
  <sheetProtection sheet="true" formatCells="false" formatColumns="false" formatRows="false"/>
  <conditionalFormatting sqref="E6:E13">
    <cfRule type="colorScale" priority="2">
      <colorScale>
        <cfvo type="min" val="0"/>
        <cfvo type="max" val="0"/>
        <color rgb="FF63BE7B"/>
        <color rgb="FFF8696B"/>
      </colorScale>
    </cfRule>
  </conditionalFormatting>
  <conditionalFormatting sqref="E18:E25">
    <cfRule type="colorScale" priority="3">
      <colorScale>
        <cfvo type="min" val="0"/>
        <cfvo type="max" val="0"/>
        <color rgb="FF63BE7B"/>
        <color rgb="FFF8696B"/>
      </colorScale>
    </cfRule>
  </conditionalFormatting>
  <conditionalFormatting sqref="E30:E37">
    <cfRule type="colorScale" priority="4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22"/>
    <col collapsed="false" customWidth="true" hidden="false" outlineLevel="0" max="6" min="6" style="0" width="20"/>
  </cols>
  <sheetData>
    <row r="1" customFormat="false" ht="16.15" hidden="false" customHeight="false" outlineLevel="0" collapsed="false">
      <c r="A1" s="1" t="s">
        <v>87</v>
      </c>
    </row>
    <row r="2" customFormat="false" ht="15" hidden="false" customHeight="false" outlineLevel="0" collapsed="false">
      <c r="A2" s="15" t="s">
        <v>88</v>
      </c>
    </row>
    <row r="4" customFormat="false" ht="23.85" hidden="false" customHeight="false" outlineLevel="0" collapsed="false">
      <c r="A4" s="3" t="s">
        <v>19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</row>
    <row r="5" customFormat="false" ht="15" hidden="false" customHeight="false" outlineLevel="0" collapsed="false">
      <c r="A5" s="4" t="s">
        <v>25</v>
      </c>
      <c r="B5" s="38" t="n">
        <f aca="false">PAYPLUG_ABO+PAYPLUG_ENT/12</f>
        <v>30</v>
      </c>
      <c r="C5" s="38" t="n">
        <f aca="false">(STRIPE_PCT-PAYPLUG_PCT)*MONTANT_MOY+(STRIPE_FIX-PAYPLUG_FIX)</f>
        <v>0.08</v>
      </c>
      <c r="D5" s="21" t="n">
        <f aca="false">IFERROR(IF(C5&lt;=0,"jamais",B5/C5),"-")</f>
        <v>375</v>
      </c>
      <c r="E5" s="24" t="n">
        <f aca="false">IFERROR(IF(C5&lt;=0,"-",D5*MONTANT_MOY),"-")</f>
        <v>7500</v>
      </c>
      <c r="F5" s="21" t="n">
        <f aca="false">IFERROR(IF(C5&lt;=0,"-",D5/(4/FREQ_SEM)),"-")</f>
        <v>187.5</v>
      </c>
    </row>
    <row r="6" customFormat="false" ht="15" hidden="false" customHeight="false" outlineLevel="0" collapsed="false">
      <c r="A6" s="7" t="s">
        <v>26</v>
      </c>
      <c r="B6" s="42" t="n">
        <f aca="false">LYRA_ABO+LYRA_ENT/12</f>
        <v>48.25</v>
      </c>
      <c r="C6" s="42" t="n">
        <f aca="false">(STRIPE_PCT-LYRA_PCT)*MONTANT_MOY+(STRIPE_FIX-LYRA_FIX)</f>
        <v>0.07</v>
      </c>
      <c r="D6" s="26" t="n">
        <f aca="false">IFERROR(IF(C6&lt;=0,"jamais",B6/C6),"-")</f>
        <v>689.285714285714</v>
      </c>
      <c r="E6" s="29" t="n">
        <f aca="false">IFERROR(IF(C6&lt;=0,"-",D6*MONTANT_MOY),"-")</f>
        <v>13785.7142857143</v>
      </c>
      <c r="F6" s="26" t="n">
        <f aca="false">IFERROR(IF(C6&lt;=0,"-",D6/(4/FREQ_SEM)),"-")</f>
        <v>344.642857142857</v>
      </c>
    </row>
    <row r="7" customFormat="false" ht="15" hidden="false" customHeight="false" outlineLevel="0" collapsed="false">
      <c r="A7" s="4" t="s">
        <v>28</v>
      </c>
      <c r="B7" s="38" t="n">
        <f aca="false">MONETICO2_ABO+MONETICO2_ENT/12</f>
        <v>20</v>
      </c>
      <c r="C7" s="38" t="n">
        <f aca="false">(STRIPE_PCT-MONETICO2_PCT)*MONTANT_MOY+(STRIPE_FIX-MONETICO2_FIX)</f>
        <v>0.45</v>
      </c>
      <c r="D7" s="21" t="n">
        <f aca="false">IFERROR(IF(C7&lt;=0,"jamais",B7/C7),"-")</f>
        <v>44.4444444444445</v>
      </c>
      <c r="E7" s="24" t="n">
        <f aca="false">IFERROR(IF(C7&lt;=0,"-",D7*MONTANT_MOY),"-")</f>
        <v>888.888888888889</v>
      </c>
      <c r="F7" s="21" t="n">
        <f aca="false">IFERROR(IF(C7&lt;=0,"-",D7/(4/FREQ_SEM)),"-")</f>
        <v>22.2222222222222</v>
      </c>
    </row>
    <row r="8" customFormat="false" ht="15" hidden="false" customHeight="false" outlineLevel="0" collapsed="false">
      <c r="A8" s="7" t="s">
        <v>29</v>
      </c>
      <c r="B8" s="42" t="n">
        <f aca="false">SOGEL_ABO+SOGEL_ENT/12</f>
        <v>24.3333333333333</v>
      </c>
      <c r="C8" s="42" t="n">
        <f aca="false">(STRIPE_PCT-SOGEL_PCT)*MONTANT_MOY+(STRIPE_FIX-SOGEL_FIX)</f>
        <v>0.45</v>
      </c>
      <c r="D8" s="26" t="n">
        <f aca="false">IFERROR(IF(C8&lt;=0,"jamais",B8/C8),"-")</f>
        <v>54.0740740740741</v>
      </c>
      <c r="E8" s="29" t="n">
        <f aca="false">IFERROR(IF(C8&lt;=0,"-",D8*MONTANT_MOY),"-")</f>
        <v>1081.48148148148</v>
      </c>
      <c r="F8" s="26" t="n">
        <f aca="false">IFERROR(IF(C8&lt;=0,"-",D8/(4/FREQ_SEM)),"-")</f>
        <v>27.037037037037</v>
      </c>
    </row>
    <row r="9" customFormat="false" ht="15" hidden="false" customHeight="false" outlineLevel="0" collapsed="false">
      <c r="A9" s="4" t="s">
        <v>30</v>
      </c>
      <c r="B9" s="38" t="n">
        <f aca="false">SOGEC_ABO+SOGEC_ENT/12</f>
        <v>58</v>
      </c>
      <c r="C9" s="38" t="n">
        <f aca="false">(STRIPE_PCT-SOGEC_PCT)*MONTANT_MOY+(STRIPE_FIX-SOGEC_FIX)</f>
        <v>0.45</v>
      </c>
      <c r="D9" s="21" t="n">
        <f aca="false">IFERROR(IF(C9&lt;=0,"jamais",B9/C9),"-")</f>
        <v>128.888888888889</v>
      </c>
      <c r="E9" s="24" t="n">
        <f aca="false">IFERROR(IF(C9&lt;=0,"-",D9*MONTANT_MOY),"-")</f>
        <v>2577.77777777778</v>
      </c>
      <c r="F9" s="21" t="n">
        <f aca="false">IFERROR(IF(C9&lt;=0,"-",D9/(4/FREQ_SEM)),"-")</f>
        <v>64.4444444444445</v>
      </c>
    </row>
    <row r="11" customFormat="false" ht="15" hidden="false" customHeight="false" outlineLevel="0" collapsed="false">
      <c r="A11" s="15" t="s">
        <v>94</v>
      </c>
    </row>
    <row r="13" customFormat="false" ht="15" hidden="false" customHeight="false" outlineLevel="0" collapsed="false">
      <c r="A13" s="2" t="s">
        <v>95</v>
      </c>
    </row>
    <row r="14" customFormat="false" ht="15" hidden="false" customHeight="false" outlineLevel="0" collapsed="false">
      <c r="A14" s="3" t="s">
        <v>96</v>
      </c>
      <c r="B14" s="3" t="s">
        <v>24</v>
      </c>
      <c r="C14" s="3" t="s">
        <v>25</v>
      </c>
      <c r="D14" s="3" t="s">
        <v>26</v>
      </c>
    </row>
    <row r="15" customFormat="false" ht="15" hidden="false" customHeight="false" outlineLevel="0" collapsed="false">
      <c r="A15" s="5" t="n">
        <v>0</v>
      </c>
      <c r="B15" s="24" t="n">
        <f aca="false">A15*(STRIPE_PCT*MONTANT_MOY+STRIPE_FIX)</f>
        <v>0</v>
      </c>
      <c r="C15" s="24" t="n">
        <f aca="false">A15*(PAYPLUG_PCT*MONTANT_MOY+PAYPLUG_FIX)+PAYPLUG_ABO+PAYPLUG_ENT/12</f>
        <v>30</v>
      </c>
      <c r="D15" s="24" t="n">
        <f aca="false">A15*(LYRA_PCT*MONTANT_MOY+LYRA_FIX)+LYRA_ABO+LYRA_ENT/12</f>
        <v>48.25</v>
      </c>
    </row>
    <row r="16" customFormat="false" ht="15" hidden="false" customHeight="false" outlineLevel="0" collapsed="false">
      <c r="A16" s="8" t="n">
        <v>100</v>
      </c>
      <c r="B16" s="29" t="n">
        <f aca="false">A16*(STRIPE_PCT*MONTANT_MOY+STRIPE_FIX)</f>
        <v>55</v>
      </c>
      <c r="C16" s="29" t="n">
        <f aca="false">A16*(PAYPLUG_PCT*MONTANT_MOY+PAYPLUG_FIX)+PAYPLUG_ABO+PAYPLUG_ENT/12</f>
        <v>77</v>
      </c>
      <c r="D16" s="29" t="n">
        <f aca="false">A16*(LYRA_PCT*MONTANT_MOY+LYRA_FIX)+LYRA_ABO+LYRA_ENT/12</f>
        <v>96.25</v>
      </c>
    </row>
    <row r="17" customFormat="false" ht="15" hidden="false" customHeight="false" outlineLevel="0" collapsed="false">
      <c r="A17" s="5" t="n">
        <v>200</v>
      </c>
      <c r="B17" s="24" t="n">
        <f aca="false">A17*(STRIPE_PCT*MONTANT_MOY+STRIPE_FIX)</f>
        <v>110</v>
      </c>
      <c r="C17" s="24" t="n">
        <f aca="false">A17*(PAYPLUG_PCT*MONTANT_MOY+PAYPLUG_FIX)+PAYPLUG_ABO+PAYPLUG_ENT/12</f>
        <v>124</v>
      </c>
      <c r="D17" s="24" t="n">
        <f aca="false">A17*(LYRA_PCT*MONTANT_MOY+LYRA_FIX)+LYRA_ABO+LYRA_ENT/12</f>
        <v>144.25</v>
      </c>
    </row>
    <row r="18" customFormat="false" ht="15" hidden="false" customHeight="false" outlineLevel="0" collapsed="false">
      <c r="A18" s="8" t="n">
        <v>300</v>
      </c>
      <c r="B18" s="29" t="n">
        <f aca="false">A18*(STRIPE_PCT*MONTANT_MOY+STRIPE_FIX)</f>
        <v>165</v>
      </c>
      <c r="C18" s="29" t="n">
        <f aca="false">A18*(PAYPLUG_PCT*MONTANT_MOY+PAYPLUG_FIX)+PAYPLUG_ABO+PAYPLUG_ENT/12</f>
        <v>171</v>
      </c>
      <c r="D18" s="29" t="n">
        <f aca="false">A18*(LYRA_PCT*MONTANT_MOY+LYRA_FIX)+LYRA_ABO+LYRA_ENT/12</f>
        <v>192.25</v>
      </c>
    </row>
    <row r="19" customFormat="false" ht="15" hidden="false" customHeight="false" outlineLevel="0" collapsed="false">
      <c r="A19" s="5" t="n">
        <v>400</v>
      </c>
      <c r="B19" s="24" t="n">
        <f aca="false">A19*(STRIPE_PCT*MONTANT_MOY+STRIPE_FIX)</f>
        <v>220</v>
      </c>
      <c r="C19" s="24" t="n">
        <f aca="false">A19*(PAYPLUG_PCT*MONTANT_MOY+PAYPLUG_FIX)+PAYPLUG_ABO+PAYPLUG_ENT/12</f>
        <v>218</v>
      </c>
      <c r="D19" s="24" t="n">
        <f aca="false">A19*(LYRA_PCT*MONTANT_MOY+LYRA_FIX)+LYRA_ABO+LYRA_ENT/12</f>
        <v>240.25</v>
      </c>
    </row>
    <row r="20" customFormat="false" ht="15" hidden="false" customHeight="false" outlineLevel="0" collapsed="false">
      <c r="A20" s="8" t="n">
        <v>500</v>
      </c>
      <c r="B20" s="29" t="n">
        <f aca="false">A20*(STRIPE_PCT*MONTANT_MOY+STRIPE_FIX)</f>
        <v>275</v>
      </c>
      <c r="C20" s="29" t="n">
        <f aca="false">A20*(PAYPLUG_PCT*MONTANT_MOY+PAYPLUG_FIX)+PAYPLUG_ABO+PAYPLUG_ENT/12</f>
        <v>265</v>
      </c>
      <c r="D20" s="29" t="n">
        <f aca="false">A20*(LYRA_PCT*MONTANT_MOY+LYRA_FIX)+LYRA_ABO+LYRA_ENT/12</f>
        <v>288.25</v>
      </c>
    </row>
    <row r="21" customFormat="false" ht="15" hidden="false" customHeight="false" outlineLevel="0" collapsed="false">
      <c r="A21" s="5" t="n">
        <v>600</v>
      </c>
      <c r="B21" s="24" t="n">
        <f aca="false">A21*(STRIPE_PCT*MONTANT_MOY+STRIPE_FIX)</f>
        <v>330</v>
      </c>
      <c r="C21" s="24" t="n">
        <f aca="false">A21*(PAYPLUG_PCT*MONTANT_MOY+PAYPLUG_FIX)+PAYPLUG_ABO+PAYPLUG_ENT/12</f>
        <v>312</v>
      </c>
      <c r="D21" s="24" t="n">
        <f aca="false">A21*(LYRA_PCT*MONTANT_MOY+LYRA_FIX)+LYRA_ABO+LYRA_ENT/12</f>
        <v>336.25</v>
      </c>
    </row>
    <row r="22" customFormat="false" ht="15" hidden="false" customHeight="false" outlineLevel="0" collapsed="false">
      <c r="A22" s="8" t="n">
        <v>700</v>
      </c>
      <c r="B22" s="29" t="n">
        <f aca="false">A22*(STRIPE_PCT*MONTANT_MOY+STRIPE_FIX)</f>
        <v>385</v>
      </c>
      <c r="C22" s="29" t="n">
        <f aca="false">A22*(PAYPLUG_PCT*MONTANT_MOY+PAYPLUG_FIX)+PAYPLUG_ABO+PAYPLUG_ENT/12</f>
        <v>359</v>
      </c>
      <c r="D22" s="29" t="n">
        <f aca="false">A22*(LYRA_PCT*MONTANT_MOY+LYRA_FIX)+LYRA_ABO+LYRA_ENT/12</f>
        <v>384.25</v>
      </c>
    </row>
    <row r="23" customFormat="false" ht="15" hidden="false" customHeight="false" outlineLevel="0" collapsed="false">
      <c r="A23" s="5" t="n">
        <v>800</v>
      </c>
      <c r="B23" s="24" t="n">
        <f aca="false">A23*(STRIPE_PCT*MONTANT_MOY+STRIPE_FIX)</f>
        <v>440</v>
      </c>
      <c r="C23" s="24" t="n">
        <f aca="false">A23*(PAYPLUG_PCT*MONTANT_MOY+PAYPLUG_FIX)+PAYPLUG_ABO+PAYPLUG_ENT/12</f>
        <v>406</v>
      </c>
      <c r="D23" s="24" t="n">
        <f aca="false">A23*(LYRA_PCT*MONTANT_MOY+LYRA_FIX)+LYRA_ABO+LYRA_ENT/12</f>
        <v>432.25</v>
      </c>
    </row>
    <row r="24" customFormat="false" ht="15" hidden="false" customHeight="false" outlineLevel="0" collapsed="false">
      <c r="A24" s="8" t="n">
        <v>900</v>
      </c>
      <c r="B24" s="29" t="n">
        <f aca="false">A24*(STRIPE_PCT*MONTANT_MOY+STRIPE_FIX)</f>
        <v>495</v>
      </c>
      <c r="C24" s="29" t="n">
        <f aca="false">A24*(PAYPLUG_PCT*MONTANT_MOY+PAYPLUG_FIX)+PAYPLUG_ABO+PAYPLUG_ENT/12</f>
        <v>453</v>
      </c>
      <c r="D24" s="29" t="n">
        <f aca="false">A24*(LYRA_PCT*MONTANT_MOY+LYRA_FIX)+LYRA_ABO+LYRA_ENT/12</f>
        <v>480.25</v>
      </c>
    </row>
    <row r="25" customFormat="false" ht="15" hidden="false" customHeight="false" outlineLevel="0" collapsed="false">
      <c r="A25" s="5" t="n">
        <v>1000</v>
      </c>
      <c r="B25" s="24" t="n">
        <f aca="false">A25*(STRIPE_PCT*MONTANT_MOY+STRIPE_FIX)</f>
        <v>550</v>
      </c>
      <c r="C25" s="24" t="n">
        <f aca="false">A25*(PAYPLUG_PCT*MONTANT_MOY+PAYPLUG_FIX)+PAYPLUG_ABO+PAYPLUG_ENT/12</f>
        <v>500</v>
      </c>
      <c r="D25" s="24" t="n">
        <f aca="false">A25*(LYRA_PCT*MONTANT_MOY+LYRA_FIX)+LYRA_ABO+LYRA_ENT/12</f>
        <v>528.25</v>
      </c>
    </row>
  </sheetData>
  <sheetProtection sheet="true" formatCells="fals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97</v>
      </c>
    </row>
  </sheetData>
  <sheetProtection sheet="true" formatCells="fals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48"/>
  </cols>
  <sheetData>
    <row r="1" customFormat="false" ht="16.15" hidden="false" customHeight="false" outlineLevel="0" collapsed="false">
      <c r="A1" s="1" t="s">
        <v>98</v>
      </c>
    </row>
    <row r="3" customFormat="false" ht="23.85" hidden="false" customHeight="false" outlineLevel="0" collapsed="false">
      <c r="A3" s="3" t="s">
        <v>19</v>
      </c>
      <c r="B3" s="3" t="s">
        <v>99</v>
      </c>
      <c r="C3" s="3" t="s">
        <v>83</v>
      </c>
      <c r="D3" s="3" t="s">
        <v>100</v>
      </c>
      <c r="E3" s="3" t="s">
        <v>101</v>
      </c>
      <c r="F3" s="3" t="s">
        <v>102</v>
      </c>
    </row>
    <row r="4" customFormat="false" ht="15" hidden="false" customHeight="false" outlineLevel="0" collapsed="false">
      <c r="A4" s="4" t="s">
        <v>24</v>
      </c>
      <c r="B4" s="37" t="n">
        <f aca="false">'Annuel (3 scénarios)'!F18</f>
        <v>2505.0375</v>
      </c>
      <c r="C4" s="21" t="n">
        <f aca="false">RANK(B4,$B$4:$B$11,1)</f>
        <v>6</v>
      </c>
      <c r="D4" s="31" t="str">
        <f aca="false">IF(C4=1,"Recommandé",IF(C4&lt;=3,"À étudier","Plus coûteux"))</f>
        <v>Plus coûteux</v>
      </c>
      <c r="E4" s="50" t="s">
        <v>103</v>
      </c>
      <c r="F4" s="50" t="s">
        <v>104</v>
      </c>
    </row>
    <row r="5" customFormat="false" ht="15" hidden="false" customHeight="false" outlineLevel="0" collapsed="false">
      <c r="A5" s="7" t="s">
        <v>25</v>
      </c>
      <c r="B5" s="41" t="n">
        <f aca="false">'Annuel (3 scénarios)'!F19</f>
        <v>2578.9275</v>
      </c>
      <c r="C5" s="26" t="n">
        <f aca="false">RANK(B5,$B$4:$B$11,1)</f>
        <v>7</v>
      </c>
      <c r="D5" s="51" t="str">
        <f aca="false">IF(C5=1,"Recommandé",IF(C5&lt;=3,"À étudier","Plus coûteux"))</f>
        <v>Plus coûteux</v>
      </c>
      <c r="E5" s="52" t="s">
        <v>105</v>
      </c>
      <c r="F5" s="52" t="s">
        <v>106</v>
      </c>
    </row>
    <row r="6" customFormat="false" ht="15" hidden="false" customHeight="false" outlineLevel="0" collapsed="false">
      <c r="A6" s="4" t="s">
        <v>26</v>
      </c>
      <c r="B6" s="37" t="n">
        <f aca="false">'Annuel (3 scénarios)'!F20</f>
        <v>2877.885</v>
      </c>
      <c r="C6" s="21" t="n">
        <f aca="false">RANK(B6,$B$4:$B$11,1)</f>
        <v>8</v>
      </c>
      <c r="D6" s="31" t="str">
        <f aca="false">IF(C6=1,"Recommandé",IF(C6&lt;=3,"À étudier","Plus coûteux"))</f>
        <v>Plus coûteux</v>
      </c>
      <c r="E6" s="50" t="s">
        <v>107</v>
      </c>
      <c r="F6" s="50" t="s">
        <v>108</v>
      </c>
    </row>
    <row r="7" customFormat="false" ht="23.85" hidden="false" customHeight="false" outlineLevel="0" collapsed="false">
      <c r="A7" s="7" t="s">
        <v>27</v>
      </c>
      <c r="B7" s="41" t="n">
        <f aca="false">'Annuel (3 scénarios)'!F21</f>
        <v>447.6375</v>
      </c>
      <c r="C7" s="26" t="n">
        <f aca="false">RANK(B7,$B$4:$B$11,1)</f>
        <v>2</v>
      </c>
      <c r="D7" s="51" t="str">
        <f aca="false">IF(C7=1,"Recommandé",IF(C7&lt;=3,"À étudier","Plus coûteux"))</f>
        <v>À étudier</v>
      </c>
      <c r="E7" s="52" t="s">
        <v>109</v>
      </c>
      <c r="F7" s="52" t="s">
        <v>110</v>
      </c>
    </row>
    <row r="8" customFormat="false" ht="15" hidden="false" customHeight="false" outlineLevel="0" collapsed="false">
      <c r="A8" s="4" t="s">
        <v>28</v>
      </c>
      <c r="B8" s="37" t="n">
        <f aca="false">'Annuel (3 scénarios)'!F22</f>
        <v>735.6375</v>
      </c>
      <c r="C8" s="21" t="n">
        <f aca="false">RANK(B8,$B$4:$B$11,1)</f>
        <v>3</v>
      </c>
      <c r="D8" s="31" t="str">
        <f aca="false">IF(C8=1,"Recommandé",IF(C8&lt;=3,"À étudier","Plus coûteux"))</f>
        <v>À étudier</v>
      </c>
      <c r="E8" s="50" t="s">
        <v>111</v>
      </c>
      <c r="F8" s="50" t="s">
        <v>112</v>
      </c>
    </row>
    <row r="9" customFormat="false" ht="15" hidden="false" customHeight="false" outlineLevel="0" collapsed="false">
      <c r="A9" s="7" t="s">
        <v>29</v>
      </c>
      <c r="B9" s="41" t="n">
        <f aca="false">'Annuel (3 scénarios)'!F23</f>
        <v>798.0375</v>
      </c>
      <c r="C9" s="26" t="n">
        <f aca="false">RANK(B9,$B$4:$B$11,1)</f>
        <v>4</v>
      </c>
      <c r="D9" s="51" t="str">
        <f aca="false">IF(C9=1,"Recommandé",IF(C9&lt;=3,"À étudier","Plus coûteux"))</f>
        <v>Plus coûteux</v>
      </c>
      <c r="E9" s="52" t="s">
        <v>113</v>
      </c>
      <c r="F9" s="52" t="s">
        <v>114</v>
      </c>
    </row>
    <row r="10" customFormat="false" ht="15" hidden="false" customHeight="false" outlineLevel="0" collapsed="false">
      <c r="A10" s="4" t="s">
        <v>30</v>
      </c>
      <c r="B10" s="37" t="n">
        <f aca="false">'Annuel (3 scénarios)'!F24</f>
        <v>1282.8375</v>
      </c>
      <c r="C10" s="21" t="n">
        <f aca="false">RANK(B10,$B$4:$B$11,1)</f>
        <v>5</v>
      </c>
      <c r="D10" s="31" t="str">
        <f aca="false">IF(C10=1,"Recommandé",IF(C10&lt;=3,"À étudier","Plus coûteux"))</f>
        <v>Plus coûteux</v>
      </c>
      <c r="E10" s="50" t="s">
        <v>115</v>
      </c>
      <c r="F10" s="50" t="s">
        <v>116</v>
      </c>
    </row>
    <row r="11" customFormat="false" ht="15" hidden="false" customHeight="false" outlineLevel="0" collapsed="false">
      <c r="A11" s="7" t="s">
        <v>31</v>
      </c>
      <c r="B11" s="41" t="n">
        <f aca="false">'Annuel (3 scénarios)'!F25</f>
        <v>0</v>
      </c>
      <c r="C11" s="26" t="n">
        <f aca="false">RANK(B11,$B$4:$B$11,1)</f>
        <v>1</v>
      </c>
      <c r="D11" s="51" t="str">
        <f aca="false">IF(C11=1,"Recommandé",IF(C11&lt;=3,"À étudier","Plus coûteux"))</f>
        <v>Recommandé</v>
      </c>
      <c r="E11" s="52" t="s">
        <v>117</v>
      </c>
      <c r="F11" s="52" t="s">
        <v>118</v>
      </c>
    </row>
    <row r="14" customFormat="false" ht="15" hidden="false" customHeight="false" outlineLevel="0" collapsed="false">
      <c r="A14" s="2" t="s">
        <v>119</v>
      </c>
    </row>
    <row r="15" customFormat="false" ht="15" hidden="false" customHeight="false" outlineLevel="0" collapsed="false">
      <c r="A15" s="53" t="str">
        <f aca="false">INDEX(A4:A11,MATCH(MIN(B4:B11),B4:B11,0))&amp;" — "&amp;TEXT(MIN(B4:B11),"# ##0")&amp;" € TTC/an. Vérifier les points de vigilance avant décision."</f>
        <v>HelloAsso —  0 € TTC/an. Vérifier les points de vigilance avant décision.</v>
      </c>
    </row>
    <row r="17" customFormat="false" ht="15" hidden="false" customHeight="false" outlineLevel="0" collapsed="false">
      <c r="A17" s="15" t="s">
        <v>120</v>
      </c>
    </row>
  </sheetData>
  <sheetProtection sheet="true" formatCells="fals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2026-06-12T08:27:32Z</dcterms:created>
  <dc:creator>openpyxl</dc:creator>
  <dc:description/>
  <dc:language>en-US</dc:language>
  <cp:lastModifiedBy/>
  <dcterms:modified xsi:type="dcterms:W3CDTF">2026-06-12T08:27:36Z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